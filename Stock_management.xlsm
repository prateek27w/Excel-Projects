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Excel Projects\"/>
    </mc:Choice>
  </mc:AlternateContent>
  <xr:revisionPtr revIDLastSave="0" documentId="13_ncr:1_{70605C93-A9B1-421E-A4D6-DAD21407E7C6}" xr6:coauthVersionLast="47" xr6:coauthVersionMax="47" xr10:uidLastSave="{00000000-0000-0000-0000-000000000000}"/>
  <bookViews>
    <workbookView xWindow="-120" yWindow="-120" windowWidth="20730" windowHeight="11160" xr2:uid="{8E88E02C-930B-4A8C-A7E7-C27DA20C29DE}"/>
  </bookViews>
  <sheets>
    <sheet name="Home" sheetId="1" r:id="rId1"/>
    <sheet name="Purchase" sheetId="2" r:id="rId2"/>
    <sheet name="Sale" sheetId="3" r:id="rId3"/>
    <sheet name="Stock" sheetId="4" r:id="rId4"/>
  </sheets>
  <definedNames>
    <definedName name="_xlnm._FilterDatabase" localSheetId="1" hidden="1">Purchase!$F$4:$F$11</definedName>
    <definedName name="_xlnm.Criteria" localSheetId="3">Stock!$J$5:$J$6</definedName>
    <definedName name="_xlnm.Extract" localSheetId="3">Stock!$D$4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1" l="1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E5" i="4"/>
  <c r="G5" i="4" s="1"/>
  <c r="F10" i="1" s="1"/>
  <c r="E6" i="4"/>
  <c r="E7" i="4"/>
  <c r="E8" i="4"/>
  <c r="G8" i="4" s="1"/>
  <c r="E9" i="4"/>
  <c r="G9" i="4" s="1"/>
  <c r="E10" i="4"/>
  <c r="E11" i="4"/>
  <c r="E12" i="4"/>
  <c r="G12" i="4" s="1"/>
  <c r="E13" i="4"/>
  <c r="G13" i="4" s="1"/>
  <c r="E14" i="4"/>
  <c r="E15" i="4"/>
  <c r="E16" i="4"/>
  <c r="E17" i="4"/>
  <c r="G17" i="4" s="1"/>
  <c r="E18" i="4"/>
  <c r="J6" i="4"/>
  <c r="G18" i="4" l="1"/>
  <c r="G14" i="4"/>
  <c r="G10" i="4"/>
  <c r="G6" i="4"/>
  <c r="G16" i="4"/>
  <c r="G15" i="4"/>
  <c r="G7" i="4"/>
  <c r="G11" i="4"/>
</calcChain>
</file>

<file path=xl/sharedStrings.xml><?xml version="1.0" encoding="utf-8"?>
<sst xmlns="http://schemas.openxmlformats.org/spreadsheetml/2006/main" count="40" uniqueCount="23">
  <si>
    <t xml:space="preserve">Entry Type: </t>
  </si>
  <si>
    <t>Last Billed:</t>
  </si>
  <si>
    <t>Date</t>
  </si>
  <si>
    <t>Bill No :</t>
  </si>
  <si>
    <t>Date :</t>
  </si>
  <si>
    <t>Item :</t>
  </si>
  <si>
    <t>Qty :</t>
  </si>
  <si>
    <t>Rate :</t>
  </si>
  <si>
    <t>Details</t>
  </si>
  <si>
    <t>Sale</t>
  </si>
  <si>
    <t>Bill No</t>
  </si>
  <si>
    <t>Item</t>
  </si>
  <si>
    <t>Qty</t>
  </si>
  <si>
    <t>Rate</t>
  </si>
  <si>
    <t>Purchase Entry</t>
  </si>
  <si>
    <t>Sales Entry</t>
  </si>
  <si>
    <t>Stock</t>
  </si>
  <si>
    <t>P. Qty</t>
  </si>
  <si>
    <t>S. Qty</t>
  </si>
  <si>
    <t>mobile</t>
  </si>
  <si>
    <t>speaker</t>
  </si>
  <si>
    <t>keyboard</t>
  </si>
  <si>
    <t>pendrive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</si>
</sst>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-dd\-yyyy;@"/>
  </numFmts>
  <fonts count="8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6" borderId="0" xfId="0" applyFont="1" applyFill="1"/>
    <xf numFmtId="0" fontId="1" fillId="0" borderId="0" xfId="0" applyFont="1"/>
    <xf numFmtId="0" fontId="3" fillId="0" borderId="1" xfId="0" applyFont="1" applyBorder="1"/>
    <xf numFmtId="0" fontId="4" fillId="2" borderId="1" xfId="0" applyFont="1" applyFill="1" applyBorder="1"/>
    <xf numFmtId="0" fontId="3" fillId="3" borderId="1" xfId="0" applyFont="1" applyFill="1" applyBorder="1" applyAlignment="1">
      <alignment horizontal="center"/>
    </xf>
    <xf numFmtId="0" fontId="3" fillId="4" borderId="1" xfId="0" applyFont="1" applyFill="1" applyBorder="1"/>
    <xf numFmtId="0" fontId="3" fillId="0" borderId="0" xfId="0" applyFont="1"/>
    <xf numFmtId="0" fontId="1" fillId="0" borderId="1" xfId="0" applyFont="1" applyBorder="1"/>
    <xf numFmtId="0" fontId="1" fillId="2" borderId="1" xfId="0" applyFont="1" applyFill="1" applyBorder="1"/>
    <xf numFmtId="164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5" fillId="0" borderId="0" xfId="0" applyFont="1"/>
    <xf numFmtId="0" fontId="5" fillId="0" borderId="1" xfId="0" applyFont="1" applyBorder="1"/>
    <xf numFmtId="164" fontId="5" fillId="0" borderId="1" xfId="0" applyNumberFormat="1" applyFont="1" applyBorder="1"/>
    <xf numFmtId="0" fontId="5" fillId="0" borderId="1" xfId="0" applyFont="1" applyBorder="1" applyAlignment="1">
      <alignment horizontal="right"/>
    </xf>
    <xf numFmtId="0" fontId="7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</cellXfs>
  <cellStyles count="1">
    <cellStyle name="Normal" xfId="0" builtinId="0"/>
  </cellStyles>
  <dxfs count="20"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5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!A1"/><Relationship Id="rId1" Type="http://schemas.openxmlformats.org/officeDocument/2006/relationships/hyperlink" Target="#Purchase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Sal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Purchas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Sale!A1"/><Relationship Id="rId1" Type="http://schemas.openxmlformats.org/officeDocument/2006/relationships/hyperlink" Target="#Purcha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247649</xdr:colOff>
      <xdr:row>12</xdr:row>
      <xdr:rowOff>9525</xdr:rowOff>
    </xdr:from>
    <xdr:to>
      <xdr:col>4</xdr:col>
      <xdr:colOff>238125</xdr:colOff>
      <xdr:row>14</xdr:row>
      <xdr:rowOff>19050</xdr:rowOff>
    </xdr:to>
    <xdr:sp macro="[0]!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5FF52B-DA2B-7112-2069-986FDFE3B5D5}"/>
            </a:ext>
          </a:extLst>
        </xdr:cNvPr>
        <xdr:cNvSpPr/>
      </xdr:nvSpPr>
      <xdr:spPr>
        <a:xfrm>
          <a:off x="857249" y="2295525"/>
          <a:ext cx="1485901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/>
            <a:t>Purchase Entry</a:t>
          </a:r>
        </a:p>
      </xdr:txBody>
    </xdr:sp>
    <xdr:clientData/>
  </xdr:twoCellAnchor>
  <xdr:twoCellAnchor>
    <xdr:from>
      <xdr:col>4</xdr:col>
      <xdr:colOff>371473</xdr:colOff>
      <xdr:row>12</xdr:row>
      <xdr:rowOff>0</xdr:rowOff>
    </xdr:from>
    <xdr:to>
      <xdr:col>5</xdr:col>
      <xdr:colOff>638175</xdr:colOff>
      <xdr:row>14</xdr:row>
      <xdr:rowOff>19050</xdr:rowOff>
    </xdr:to>
    <xdr:sp macro="[0]!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58CF81B-58B8-40C4-9D61-862A363D2EC5}"/>
            </a:ext>
          </a:extLst>
        </xdr:cNvPr>
        <xdr:cNvSpPr/>
      </xdr:nvSpPr>
      <xdr:spPr>
        <a:xfrm>
          <a:off x="2476498" y="2362200"/>
          <a:ext cx="1419227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/>
            <a:t> </a:t>
          </a:r>
          <a:r>
            <a:rPr lang="en-US" sz="1600" b="1" baseline="0"/>
            <a:t> </a:t>
          </a:r>
          <a:r>
            <a:rPr lang="en-US" sz="1600" b="1"/>
            <a:t> Sales Entry</a:t>
          </a:r>
        </a:p>
      </xdr:txBody>
    </xdr:sp>
    <xdr:clientData/>
  </xdr:twoCellAnchor>
  <xdr:twoCellAnchor>
    <xdr:from>
      <xdr:col>7</xdr:col>
      <xdr:colOff>104775</xdr:colOff>
      <xdr:row>1</xdr:row>
      <xdr:rowOff>171450</xdr:rowOff>
    </xdr:from>
    <xdr:to>
      <xdr:col>9</xdr:col>
      <xdr:colOff>447675</xdr:colOff>
      <xdr:row>4</xdr:row>
      <xdr:rowOff>9525</xdr:rowOff>
    </xdr:to>
    <xdr:sp macro="[0]!P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BCE76C-E58D-472B-A9C6-D78962BC24BE}"/>
            </a:ext>
          </a:extLst>
        </xdr:cNvPr>
        <xdr:cNvSpPr/>
      </xdr:nvSpPr>
      <xdr:spPr>
        <a:xfrm>
          <a:off x="5924550" y="361950"/>
          <a:ext cx="1562100" cy="638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/>
            <a:t>Purchase</a:t>
          </a:r>
          <a:r>
            <a:rPr lang="en-US" sz="1600" b="1" baseline="0"/>
            <a:t> </a:t>
          </a:r>
          <a:r>
            <a:rPr lang="en-US" sz="1600" b="1"/>
            <a:t>Sheet</a:t>
          </a:r>
        </a:p>
      </xdr:txBody>
    </xdr:sp>
    <xdr:clientData/>
  </xdr:twoCellAnchor>
  <xdr:twoCellAnchor>
    <xdr:from>
      <xdr:col>7</xdr:col>
      <xdr:colOff>123824</xdr:colOff>
      <xdr:row>5</xdr:row>
      <xdr:rowOff>9525</xdr:rowOff>
    </xdr:from>
    <xdr:to>
      <xdr:col>9</xdr:col>
      <xdr:colOff>409575</xdr:colOff>
      <xdr:row>7</xdr:row>
      <xdr:rowOff>38100</xdr:rowOff>
    </xdr:to>
    <xdr:sp macro="[0]!P" textlink="">
      <xdr:nvSpPr>
        <xdr:cNvPr id="5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DFB3E8-CCD3-4418-BFB7-DE802EDCC8C8}"/>
            </a:ext>
          </a:extLst>
        </xdr:cNvPr>
        <xdr:cNvSpPr/>
      </xdr:nvSpPr>
      <xdr:spPr>
        <a:xfrm>
          <a:off x="5686424" y="962025"/>
          <a:ext cx="1504951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/>
            <a:t>   Sales Sheet</a:t>
          </a:r>
        </a:p>
      </xdr:txBody>
    </xdr:sp>
    <xdr:clientData/>
  </xdr:twoCellAnchor>
  <xdr:twoCellAnchor>
    <xdr:from>
      <xdr:col>7</xdr:col>
      <xdr:colOff>133349</xdr:colOff>
      <xdr:row>8</xdr:row>
      <xdr:rowOff>9525</xdr:rowOff>
    </xdr:from>
    <xdr:to>
      <xdr:col>9</xdr:col>
      <xdr:colOff>447675</xdr:colOff>
      <xdr:row>9</xdr:row>
      <xdr:rowOff>219075</xdr:rowOff>
    </xdr:to>
    <xdr:sp macro="[0]!P" textlink="">
      <xdr:nvSpPr>
        <xdr:cNvPr id="6" name="Rectangle: Rounded Corner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8DD757-9BB0-4DBA-9F86-DD8AEE0D3242}"/>
            </a:ext>
          </a:extLst>
        </xdr:cNvPr>
        <xdr:cNvSpPr/>
      </xdr:nvSpPr>
      <xdr:spPr>
        <a:xfrm>
          <a:off x="5695949" y="1533525"/>
          <a:ext cx="1533526" cy="400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/>
            <a:t>   Stock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3</xdr:row>
      <xdr:rowOff>9525</xdr:rowOff>
    </xdr:from>
    <xdr:to>
      <xdr:col>11</xdr:col>
      <xdr:colOff>457201</xdr:colOff>
      <xdr:row>5</xdr:row>
      <xdr:rowOff>38100</xdr:rowOff>
    </xdr:to>
    <xdr:sp macro="[0]!P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EABEC9-7C8F-4D5D-9F9C-AC0A6D8685E1}"/>
            </a:ext>
          </a:extLst>
        </xdr:cNvPr>
        <xdr:cNvSpPr/>
      </xdr:nvSpPr>
      <xdr:spPr>
        <a:xfrm>
          <a:off x="5743575" y="581025"/>
          <a:ext cx="1504951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/>
            <a:t>   Sales Sheet</a:t>
          </a:r>
        </a:p>
      </xdr:txBody>
    </xdr:sp>
    <xdr:clientData/>
  </xdr:twoCellAnchor>
  <xdr:twoCellAnchor>
    <xdr:from>
      <xdr:col>9</xdr:col>
      <xdr:colOff>171451</xdr:colOff>
      <xdr:row>6</xdr:row>
      <xdr:rowOff>19050</xdr:rowOff>
    </xdr:from>
    <xdr:to>
      <xdr:col>11</xdr:col>
      <xdr:colOff>476251</xdr:colOff>
      <xdr:row>8</xdr:row>
      <xdr:rowOff>47625</xdr:rowOff>
    </xdr:to>
    <xdr:sp macro="[0]!P" textlink="">
      <xdr:nvSpPr>
        <xdr:cNvPr id="5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258843C-F604-453B-A884-8547A892A03E}"/>
            </a:ext>
          </a:extLst>
        </xdr:cNvPr>
        <xdr:cNvSpPr/>
      </xdr:nvSpPr>
      <xdr:spPr>
        <a:xfrm>
          <a:off x="5743576" y="1162050"/>
          <a:ext cx="152400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/>
            <a:t>   Home </a:t>
          </a:r>
          <a:r>
            <a:rPr lang="en-US" sz="1600" b="1"/>
            <a:t>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</xdr:row>
      <xdr:rowOff>0</xdr:rowOff>
    </xdr:from>
    <xdr:to>
      <xdr:col>12</xdr:col>
      <xdr:colOff>304800</xdr:colOff>
      <xdr:row>6</xdr:row>
      <xdr:rowOff>28575</xdr:rowOff>
    </xdr:to>
    <xdr:sp macro="[0]!P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9C4F09-3D79-4D10-BBC4-5D9A49FE0462}"/>
            </a:ext>
          </a:extLst>
        </xdr:cNvPr>
        <xdr:cNvSpPr/>
      </xdr:nvSpPr>
      <xdr:spPr>
        <a:xfrm>
          <a:off x="6181725" y="762000"/>
          <a:ext cx="152400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/>
            <a:t>Purchase</a:t>
          </a:r>
          <a:r>
            <a:rPr lang="en-US" sz="1600" b="1" baseline="0"/>
            <a:t> </a:t>
          </a:r>
          <a:r>
            <a:rPr lang="en-US" sz="1600" b="1"/>
            <a:t>Sheet</a:t>
          </a:r>
        </a:p>
      </xdr:txBody>
    </xdr:sp>
    <xdr:clientData/>
  </xdr:twoCellAnchor>
  <xdr:twoCellAnchor>
    <xdr:from>
      <xdr:col>10</xdr:col>
      <xdr:colOff>19050</xdr:colOff>
      <xdr:row>7</xdr:row>
      <xdr:rowOff>9525</xdr:rowOff>
    </xdr:from>
    <xdr:to>
      <xdr:col>12</xdr:col>
      <xdr:colOff>323850</xdr:colOff>
      <xdr:row>9</xdr:row>
      <xdr:rowOff>38100</xdr:rowOff>
    </xdr:to>
    <xdr:sp macro="[0]!P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81AAC24-75B9-4AB9-977C-58DD8FBD82E7}"/>
            </a:ext>
          </a:extLst>
        </xdr:cNvPr>
        <xdr:cNvSpPr/>
      </xdr:nvSpPr>
      <xdr:spPr>
        <a:xfrm>
          <a:off x="6200775" y="1343025"/>
          <a:ext cx="152400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/>
            <a:t>   Home </a:t>
          </a:r>
          <a:r>
            <a:rPr lang="en-US" sz="1600" b="1"/>
            <a:t>Sheet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180975</xdr:rowOff>
    </xdr:from>
    <xdr:to>
      <xdr:col>11</xdr:col>
      <xdr:colOff>285751</xdr:colOff>
      <xdr:row>3</xdr:row>
      <xdr:rowOff>9525</xdr:rowOff>
    </xdr:to>
    <xdr:sp macro="[0]!Re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1168E24-9F5B-42C4-AF20-EF46B5BCE645}"/>
            </a:ext>
          </a:extLst>
        </xdr:cNvPr>
        <xdr:cNvSpPr/>
      </xdr:nvSpPr>
      <xdr:spPr>
        <a:xfrm>
          <a:off x="5619750" y="180975"/>
          <a:ext cx="1504951" cy="400050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/>
            <a:t> </a:t>
          </a:r>
          <a:r>
            <a:rPr lang="en-US" sz="1600" b="1" baseline="0"/>
            <a:t> </a:t>
          </a:r>
          <a:r>
            <a:rPr lang="en-US" sz="1600" b="1"/>
            <a:t>     Refresh</a:t>
          </a:r>
        </a:p>
      </xdr:txBody>
    </xdr:sp>
    <xdr:clientData/>
  </xdr:twoCellAnchor>
  <xdr:twoCellAnchor>
    <xdr:from>
      <xdr:col>7</xdr:col>
      <xdr:colOff>600075</xdr:colOff>
      <xdr:row>5</xdr:row>
      <xdr:rowOff>9525</xdr:rowOff>
    </xdr:from>
    <xdr:to>
      <xdr:col>11</xdr:col>
      <xdr:colOff>295275</xdr:colOff>
      <xdr:row>7</xdr:row>
      <xdr:rowOff>38100</xdr:rowOff>
    </xdr:to>
    <xdr:sp macro="[0]!P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8693CD-3A15-4E43-A862-808E1A33B5ED}"/>
            </a:ext>
          </a:extLst>
        </xdr:cNvPr>
        <xdr:cNvSpPr/>
      </xdr:nvSpPr>
      <xdr:spPr>
        <a:xfrm>
          <a:off x="5610225" y="962025"/>
          <a:ext cx="152400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/>
            <a:t>Purchase</a:t>
          </a:r>
          <a:r>
            <a:rPr lang="en-US" sz="1600" b="1" baseline="0"/>
            <a:t> </a:t>
          </a:r>
          <a:r>
            <a:rPr lang="en-US" sz="1600" b="1"/>
            <a:t>Sheet</a:t>
          </a:r>
        </a:p>
      </xdr:txBody>
    </xdr:sp>
    <xdr:clientData/>
  </xdr:twoCellAnchor>
  <xdr:twoCellAnchor>
    <xdr:from>
      <xdr:col>8</xdr:col>
      <xdr:colOff>9524</xdr:colOff>
      <xdr:row>8</xdr:row>
      <xdr:rowOff>38100</xdr:rowOff>
    </xdr:from>
    <xdr:to>
      <xdr:col>11</xdr:col>
      <xdr:colOff>295275</xdr:colOff>
      <xdr:row>10</xdr:row>
      <xdr:rowOff>66675</xdr:rowOff>
    </xdr:to>
    <xdr:sp macro="[0]!P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49DB0BA-8DFE-4CE7-9720-76AFB723D48D}"/>
            </a:ext>
          </a:extLst>
        </xdr:cNvPr>
        <xdr:cNvSpPr/>
      </xdr:nvSpPr>
      <xdr:spPr>
        <a:xfrm>
          <a:off x="5629274" y="1562100"/>
          <a:ext cx="1504951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/>
            <a:t>   Sales Sheet</a:t>
          </a:r>
        </a:p>
      </xdr:txBody>
    </xdr:sp>
    <xdr:clientData/>
  </xdr:twoCellAnchor>
  <xdr:twoCellAnchor>
    <xdr:from>
      <xdr:col>11</xdr:col>
      <xdr:colOff>600075</xdr:colOff>
      <xdr:row>6</xdr:row>
      <xdr:rowOff>66675</xdr:rowOff>
    </xdr:from>
    <xdr:to>
      <xdr:col>14</xdr:col>
      <xdr:colOff>295275</xdr:colOff>
      <xdr:row>8</xdr:row>
      <xdr:rowOff>95250</xdr:rowOff>
    </xdr:to>
    <xdr:sp macro="[0]!P" textlink="">
      <xdr:nvSpPr>
        <xdr:cNvPr id="7" name="Rectangle: Rounded Corner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89FEED9-5FF3-46C9-BADE-011FA00A8B58}"/>
            </a:ext>
          </a:extLst>
        </xdr:cNvPr>
        <xdr:cNvSpPr/>
      </xdr:nvSpPr>
      <xdr:spPr>
        <a:xfrm>
          <a:off x="7439025" y="1209675"/>
          <a:ext cx="152400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/>
            <a:t>   Home </a:t>
          </a:r>
          <a:r>
            <a:rPr lang="en-US" sz="1600" b="1"/>
            <a:t>Sheet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5EC244A-5F75-4303-9CC1-69018289DC23}" name="Table3" displayName="Table3" ref="D4:H11" totalsRowShown="0" headerRowDxfId="19" dataDxfId="18">
  <tableColumns count="5">
    <tableColumn id="1" xr3:uid="{13CA8883-36F9-40A0-8C8A-3CE6E085C3E8}" name="Bill No" dataDxfId="17"/>
    <tableColumn id="2" xr3:uid="{2E8D9BB7-216C-4097-82C1-D2410A5F2A66}" name="Date" dataDxfId="16"/>
    <tableColumn id="3" xr3:uid="{1C5443D3-0351-4405-9DDC-05BB9C2DC33B}" name="Item" dataDxfId="15"/>
    <tableColumn id="4" xr3:uid="{5C1635C2-6C35-4FAF-B958-B8B9DA1E40A3}" name="Qty" dataDxfId="14"/>
    <tableColumn id="5" xr3:uid="{77264757-998D-4857-A407-631437222997}" name="Rate" dataDxfId="13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7704127-7788-4AF0-A909-BB9CE86BAA37}" name="Table35" displayName="Table35" ref="D4:H8" totalsRowShown="0" headerRowDxfId="12" dataDxfId="11">
  <autoFilter ref="D4:H8" xr:uid="{E7704127-7788-4AF0-A909-BB9CE86BAA37}"/>
  <tableColumns count="5">
    <tableColumn id="1" xr3:uid="{D383633E-CC31-401D-8E19-F537B1BBA2F3}" name="Bill No" dataDxfId="10"/>
    <tableColumn id="2" xr3:uid="{7E4A632D-0293-40D7-9FC2-EE58E8CF7CBB}" name="Date" dataDxfId="9"/>
    <tableColumn id="3" xr3:uid="{B7C9DA29-79FD-4D0F-A530-A80D9B2BF64F}" name="Item" dataDxfId="8"/>
    <tableColumn id="4" xr3:uid="{153943BC-5B07-48F1-9AC5-92E3D4AD8DF1}" name="Qty" dataDxfId="7"/>
    <tableColumn id="5" xr3:uid="{EBC114BB-A5BF-4858-A5D6-C18088930FFA}" name="Rate" dataDxfId="6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39DF43-2239-4328-89E2-F938F09C51EF}" name="Table36" displayName="Table36" ref="D4:G18" totalsRowShown="0" headerRowDxfId="5" dataDxfId="4">
  <tableColumns count="4">
    <tableColumn id="1" xr3:uid="{B58FEA4C-958F-4B97-9F37-B29434CAF02D}" name="Item" dataDxfId="3"/>
    <tableColumn id="2" xr3:uid="{34832165-8888-4F13-973F-6CFED436D245}" name="P. Qty" dataDxfId="2">
      <calculatedColumnFormula>SUMIF(Table3[[#All],[Item]],Table36[[#This Row],[Item]],Table3[[#All],[Qty]])</calculatedColumnFormula>
    </tableColumn>
    <tableColumn id="3" xr3:uid="{362702E6-5208-4A5D-8693-6F857F9DDFB3}" name="S. Qty" dataDxfId="1">
      <calculatedColumnFormula>SUMIF(Table35[[#All],[Item]],Table36[[#This Row],[Item]],Table35[[#All],[Qty]])</calculatedColumnFormula>
    </tableColumn>
    <tableColumn id="4" xr3:uid="{9B5C8F98-4655-4FA4-BC77-C73692C4D318}" name="Stock" dataDxfId="0">
      <calculatedColumnFormula>Table36[[#This Row],[P. Qty]]-Table36[[#This Row],[S. Qty]]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0F65A-F4B3-4802-944A-3361CF7958DA}">
  <dimension ref="B2:F11"/>
  <sheetViews>
    <sheetView tabSelected="1" workbookViewId="0">
      <selection activeCell="L5" sqref="L5"/>
    </sheetView>
  </sheetViews>
  <sheetFormatPr defaultRowHeight="15" x14ac:dyDescent="0.25"/>
  <cols>
    <col min="1" max="2" width="9.140625" customWidth="1"/>
    <col min="3" max="3" width="16.140625" bestFit="1" customWidth="1"/>
    <col min="4" max="4" width="1" customWidth="1"/>
    <col min="5" max="5" width="17.28515625" customWidth="1"/>
    <col min="6" max="6" width="25.42578125" bestFit="1" customWidth="1"/>
  </cols>
  <sheetData>
    <row r="2" spans="2:6" ht="21" x14ac:dyDescent="0.35">
      <c r="B2" s="2"/>
      <c r="C2" s="2"/>
      <c r="D2" s="2"/>
      <c r="E2" s="2"/>
      <c r="F2" s="2"/>
    </row>
    <row r="3" spans="2:6" ht="21" x14ac:dyDescent="0.35">
      <c r="B3" s="2"/>
      <c r="C3" s="3" t="s">
        <v>0</v>
      </c>
      <c r="D3" s="4"/>
      <c r="E3" s="5" t="s">
        <v>9</v>
      </c>
      <c r="F3" s="2"/>
    </row>
    <row r="4" spans="2:6" ht="21" x14ac:dyDescent="0.35">
      <c r="B4" s="2"/>
      <c r="C4" s="3" t="s">
        <v>1</v>
      </c>
      <c r="D4" s="4"/>
      <c r="E4" s="6">
        <f>IF(E3="Purchase",MAX(Table3[Bill No]),MAX(Table35[Bill No]))</f>
        <v>3</v>
      </c>
      <c r="F4" s="2"/>
    </row>
    <row r="5" spans="2:6" ht="21" x14ac:dyDescent="0.35">
      <c r="B5" s="2"/>
      <c r="C5" s="2"/>
      <c r="D5" s="2"/>
      <c r="E5" s="2"/>
      <c r="F5" s="2"/>
    </row>
    <row r="6" spans="2:6" ht="21" x14ac:dyDescent="0.35">
      <c r="B6" s="2"/>
      <c r="C6" s="7" t="s">
        <v>8</v>
      </c>
      <c r="D6" s="2"/>
      <c r="E6" s="2"/>
      <c r="F6" s="2"/>
    </row>
    <row r="7" spans="2:6" ht="21" x14ac:dyDescent="0.35">
      <c r="B7" s="2"/>
      <c r="C7" s="8" t="s">
        <v>3</v>
      </c>
      <c r="D7" s="9"/>
      <c r="E7" s="8"/>
      <c r="F7" s="2"/>
    </row>
    <row r="8" spans="2:6" ht="21" x14ac:dyDescent="0.35">
      <c r="B8" s="2"/>
      <c r="C8" s="8" t="s">
        <v>4</v>
      </c>
      <c r="D8" s="9"/>
      <c r="E8" s="10"/>
      <c r="F8" s="2"/>
    </row>
    <row r="9" spans="2:6" ht="21" x14ac:dyDescent="0.35">
      <c r="B9" s="2"/>
      <c r="C9" s="8" t="s">
        <v>5</v>
      </c>
      <c r="D9" s="9"/>
      <c r="E9" s="11"/>
      <c r="F9" s="2"/>
    </row>
    <row r="10" spans="2:6" ht="21" x14ac:dyDescent="0.35">
      <c r="B10" s="2"/>
      <c r="C10" s="8" t="s">
        <v>6</v>
      </c>
      <c r="D10" s="9"/>
      <c r="E10" s="8"/>
      <c r="F10" s="1" t="str">
        <f>IFERROR(IF(E3="Sale",IF(VLOOKUP(E9,Table36[#All],4,0)&lt;E10,"Stock Not Available",""),""),"")</f>
        <v/>
      </c>
    </row>
    <row r="11" spans="2:6" ht="21" x14ac:dyDescent="0.35">
      <c r="B11" s="2"/>
      <c r="C11" s="8" t="s">
        <v>7</v>
      </c>
      <c r="D11" s="9"/>
      <c r="E11" s="8"/>
      <c r="F11" s="2"/>
    </row>
  </sheetData>
  <dataValidations count="1">
    <dataValidation type="list" allowBlank="1" showInputMessage="1" showErrorMessage="1" sqref="E3" xr:uid="{63B4C8FA-61E9-44CC-B5E9-FDFA41A8A341}">
      <formula1>"Sale, Purchase"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2A646-BFAB-497D-8898-18B2E045A3DE}">
  <dimension ref="C2:H16"/>
  <sheetViews>
    <sheetView workbookViewId="0">
      <selection activeCell="N15" sqref="N15"/>
    </sheetView>
  </sheetViews>
  <sheetFormatPr defaultRowHeight="15" x14ac:dyDescent="0.25"/>
  <cols>
    <col min="5" max="5" width="14.5703125" bestFit="1" customWidth="1"/>
    <col min="6" max="6" width="12.42578125" bestFit="1" customWidth="1"/>
  </cols>
  <sheetData>
    <row r="2" spans="3:8" ht="19.5" x14ac:dyDescent="0.3">
      <c r="C2" s="12"/>
      <c r="D2" s="16" t="s">
        <v>14</v>
      </c>
      <c r="E2" s="16"/>
      <c r="F2" s="16"/>
      <c r="G2" s="16"/>
      <c r="H2" s="16"/>
    </row>
    <row r="3" spans="3:8" ht="19.5" x14ac:dyDescent="0.3">
      <c r="C3" s="12"/>
      <c r="D3" s="16"/>
      <c r="E3" s="16"/>
      <c r="F3" s="16"/>
      <c r="G3" s="16"/>
      <c r="H3" s="16"/>
    </row>
    <row r="4" spans="3:8" ht="19.5" x14ac:dyDescent="0.3">
      <c r="C4" s="12"/>
      <c r="D4" s="12" t="s">
        <v>10</v>
      </c>
      <c r="E4" s="12" t="s">
        <v>2</v>
      </c>
      <c r="F4" s="12" t="s">
        <v>11</v>
      </c>
      <c r="G4" s="12" t="s">
        <v>12</v>
      </c>
      <c r="H4" s="12" t="s">
        <v>13</v>
      </c>
    </row>
    <row r="5" spans="3:8" ht="19.5" x14ac:dyDescent="0.3">
      <c r="C5" s="12"/>
      <c r="D5" s="12"/>
      <c r="E5" s="12"/>
      <c r="F5" s="12"/>
      <c r="G5" s="12"/>
      <c r="H5" s="12"/>
    </row>
    <row r="6" spans="3:8" ht="19.5" x14ac:dyDescent="0.3">
      <c r="C6" s="12"/>
      <c r="D6" s="13">
        <v>5</v>
      </c>
      <c r="E6" s="14">
        <v>44228</v>
      </c>
      <c r="F6" s="15" t="s">
        <v>22</v>
      </c>
      <c r="G6" s="13">
        <v>30</v>
      </c>
      <c r="H6" s="13">
        <v>500</v>
      </c>
    </row>
    <row r="7" spans="3:8" ht="19.5" x14ac:dyDescent="0.3">
      <c r="C7" s="12"/>
      <c r="D7" s="13">
        <v>3</v>
      </c>
      <c r="E7" s="14">
        <v>44197</v>
      </c>
      <c r="F7" s="15" t="s">
        <v>21</v>
      </c>
      <c r="G7" s="13">
        <v>10</v>
      </c>
      <c r="H7" s="13">
        <v>1500</v>
      </c>
    </row>
    <row r="8" spans="3:8" ht="19.5" x14ac:dyDescent="0.3">
      <c r="C8" s="12"/>
      <c r="D8" s="13">
        <v>4</v>
      </c>
      <c r="E8" s="14">
        <v>44197</v>
      </c>
      <c r="F8" s="15" t="s">
        <v>21</v>
      </c>
      <c r="G8" s="13">
        <v>20</v>
      </c>
      <c r="H8" s="13">
        <v>1000</v>
      </c>
    </row>
    <row r="9" spans="3:8" ht="19.5" x14ac:dyDescent="0.3">
      <c r="C9" s="12"/>
      <c r="D9" s="13">
        <v>3</v>
      </c>
      <c r="E9" s="14">
        <v>44197</v>
      </c>
      <c r="F9" s="15" t="s">
        <v>19</v>
      </c>
      <c r="G9" s="13">
        <v>10</v>
      </c>
      <c r="H9" s="13">
        <v>25000</v>
      </c>
    </row>
    <row r="10" spans="3:8" ht="19.5" x14ac:dyDescent="0.3">
      <c r="C10" s="12"/>
      <c r="D10" s="13">
        <v>2</v>
      </c>
      <c r="E10" s="14">
        <v>44197</v>
      </c>
      <c r="F10" s="15" t="s">
        <v>20</v>
      </c>
      <c r="G10" s="13">
        <v>10</v>
      </c>
      <c r="H10" s="13">
        <v>1000</v>
      </c>
    </row>
    <row r="11" spans="3:8" ht="19.5" x14ac:dyDescent="0.3">
      <c r="C11" s="12"/>
      <c r="D11" s="13">
        <v>1</v>
      </c>
      <c r="E11" s="14">
        <v>44197</v>
      </c>
      <c r="F11" s="15" t="s">
        <v>19</v>
      </c>
      <c r="G11" s="13">
        <v>15</v>
      </c>
      <c r="H11" s="13">
        <v>20000</v>
      </c>
    </row>
    <row r="12" spans="3:8" ht="19.5" x14ac:dyDescent="0.3">
      <c r="C12" s="12"/>
      <c r="D12" s="12"/>
      <c r="E12" s="12"/>
      <c r="F12" s="12"/>
      <c r="G12" s="12"/>
      <c r="H12" s="12"/>
    </row>
    <row r="13" spans="3:8" ht="19.5" x14ac:dyDescent="0.3">
      <c r="C13" s="12"/>
      <c r="D13" s="12"/>
      <c r="E13" s="12"/>
      <c r="F13" s="12"/>
      <c r="G13" s="12"/>
      <c r="H13" s="12"/>
    </row>
    <row r="14" spans="3:8" ht="19.5" x14ac:dyDescent="0.3">
      <c r="C14" s="12"/>
      <c r="D14" s="12"/>
      <c r="E14" s="12"/>
      <c r="F14" s="12"/>
      <c r="G14" s="12"/>
      <c r="H14" s="12"/>
    </row>
    <row r="15" spans="3:8" ht="19.5" x14ac:dyDescent="0.3">
      <c r="C15" s="12"/>
      <c r="D15" s="12"/>
      <c r="E15" s="12"/>
      <c r="F15" s="12"/>
      <c r="G15" s="12"/>
      <c r="H15" s="12"/>
    </row>
    <row r="16" spans="3:8" ht="19.5" x14ac:dyDescent="0.3">
      <c r="C16" s="12"/>
    </row>
  </sheetData>
  <mergeCells count="1">
    <mergeCell ref="D2:H3"/>
  </mergeCell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2DF996-8950-458D-8B20-AB3F6E8D776C}">
          <x14:formula1>
            <xm:f>Stock!$D$5:$D$18</xm:f>
          </x14:formula1>
          <xm:sqref>F7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D19B9-EBBC-42FB-8B58-63AC148B7C1B}">
  <dimension ref="C1:H17"/>
  <sheetViews>
    <sheetView workbookViewId="0">
      <selection activeCell="D5" sqref="D5"/>
    </sheetView>
  </sheetViews>
  <sheetFormatPr defaultRowHeight="15" x14ac:dyDescent="0.25"/>
  <cols>
    <col min="4" max="4" width="9.28515625" bestFit="1" customWidth="1"/>
    <col min="5" max="5" width="15.7109375" bestFit="1" customWidth="1"/>
    <col min="6" max="6" width="11.85546875" bestFit="1" customWidth="1"/>
    <col min="7" max="8" width="9.28515625" bestFit="1" customWidth="1"/>
  </cols>
  <sheetData>
    <row r="1" spans="3:8" ht="19.5" x14ac:dyDescent="0.3">
      <c r="C1" s="12"/>
      <c r="D1" s="12"/>
      <c r="E1" s="12"/>
      <c r="F1" s="12"/>
      <c r="G1" s="12"/>
      <c r="H1" s="12"/>
    </row>
    <row r="2" spans="3:8" ht="19.5" x14ac:dyDescent="0.3">
      <c r="C2" s="12"/>
      <c r="D2" s="17" t="s">
        <v>15</v>
      </c>
      <c r="E2" s="17"/>
      <c r="F2" s="17"/>
      <c r="G2" s="17"/>
      <c r="H2" s="17"/>
    </row>
    <row r="3" spans="3:8" ht="19.5" x14ac:dyDescent="0.3">
      <c r="C3" s="12"/>
      <c r="D3" s="17"/>
      <c r="E3" s="17"/>
      <c r="F3" s="17"/>
      <c r="G3" s="17"/>
      <c r="H3" s="17"/>
    </row>
    <row r="4" spans="3:8" ht="19.5" x14ac:dyDescent="0.3">
      <c r="C4" s="12"/>
      <c r="D4" s="12" t="s">
        <v>10</v>
      </c>
      <c r="E4" s="12" t="s">
        <v>2</v>
      </c>
      <c r="F4" s="12" t="s">
        <v>11</v>
      </c>
      <c r="G4" s="12" t="s">
        <v>12</v>
      </c>
      <c r="H4" s="12" t="s">
        <v>13</v>
      </c>
    </row>
    <row r="5" spans="3:8" ht="19.5" x14ac:dyDescent="0.3">
      <c r="C5" s="12"/>
      <c r="D5" s="12"/>
      <c r="E5" s="12"/>
      <c r="F5" s="12"/>
      <c r="G5" s="12"/>
      <c r="H5" s="12"/>
    </row>
    <row r="6" spans="3:8" ht="21" x14ac:dyDescent="0.35">
      <c r="C6" s="12"/>
      <c r="D6" s="8">
        <v>3</v>
      </c>
      <c r="E6" s="10">
        <v>44228</v>
      </c>
      <c r="F6" s="11" t="s">
        <v>22</v>
      </c>
      <c r="G6" s="8">
        <v>10</v>
      </c>
      <c r="H6" s="8">
        <v>500</v>
      </c>
    </row>
    <row r="7" spans="3:8" ht="19.5" x14ac:dyDescent="0.3">
      <c r="C7" s="12"/>
      <c r="D7" s="13">
        <v>2</v>
      </c>
      <c r="E7" s="14">
        <v>44197</v>
      </c>
      <c r="F7" s="15" t="s">
        <v>20</v>
      </c>
      <c r="G7" s="13">
        <v>10</v>
      </c>
      <c r="H7" s="13">
        <v>2000</v>
      </c>
    </row>
    <row r="8" spans="3:8" ht="19.5" x14ac:dyDescent="0.3">
      <c r="C8" s="12"/>
      <c r="D8" s="13">
        <v>1</v>
      </c>
      <c r="E8" s="14">
        <v>44197</v>
      </c>
      <c r="F8" s="15" t="s">
        <v>19</v>
      </c>
      <c r="G8" s="13">
        <v>5</v>
      </c>
      <c r="H8" s="13">
        <v>22000</v>
      </c>
    </row>
    <row r="9" spans="3:8" ht="19.5" x14ac:dyDescent="0.3">
      <c r="C9" s="12"/>
      <c r="D9" s="12"/>
      <c r="E9" s="12"/>
      <c r="F9" s="12"/>
      <c r="G9" s="12"/>
      <c r="H9" s="12"/>
    </row>
    <row r="10" spans="3:8" ht="19.5" x14ac:dyDescent="0.3">
      <c r="C10" s="12"/>
    </row>
    <row r="11" spans="3:8" ht="19.5" x14ac:dyDescent="0.3">
      <c r="C11" s="12"/>
    </row>
    <row r="12" spans="3:8" ht="19.5" x14ac:dyDescent="0.3">
      <c r="C12" s="12"/>
    </row>
    <row r="13" spans="3:8" ht="19.5" x14ac:dyDescent="0.3">
      <c r="C13" s="12"/>
    </row>
    <row r="14" spans="3:8" ht="19.5" x14ac:dyDescent="0.3">
      <c r="C14" s="12"/>
    </row>
    <row r="15" spans="3:8" ht="19.5" x14ac:dyDescent="0.3">
      <c r="C15" s="12"/>
    </row>
    <row r="16" spans="3:8" ht="19.5" x14ac:dyDescent="0.3">
      <c r="C16" s="12"/>
    </row>
    <row r="17" spans="3:3" ht="19.5" x14ac:dyDescent="0.3">
      <c r="C17" s="12"/>
    </row>
  </sheetData>
  <mergeCells count="1">
    <mergeCell ref="D2:H3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35584-9047-4FBF-86A9-03ABEB875F80}">
  <dimension ref="A2:J19"/>
  <sheetViews>
    <sheetView workbookViewId="0">
      <selection activeCell="N14" sqref="N14"/>
    </sheetView>
  </sheetViews>
  <sheetFormatPr defaultRowHeight="15" x14ac:dyDescent="0.25"/>
  <cols>
    <col min="4" max="4" width="12.5703125" customWidth="1"/>
    <col min="5" max="5" width="11.85546875" customWidth="1"/>
    <col min="6" max="6" width="11.7109375" customWidth="1"/>
    <col min="7" max="7" width="11.5703125" customWidth="1"/>
    <col min="8" max="8" width="9.140625" customWidth="1"/>
    <col min="10" max="10" width="0" hidden="1" customWidth="1"/>
  </cols>
  <sheetData>
    <row r="2" spans="1:10" ht="15" customHeight="1" x14ac:dyDescent="0.3">
      <c r="C2" s="12"/>
      <c r="D2" s="16" t="s">
        <v>16</v>
      </c>
      <c r="E2" s="16"/>
      <c r="F2" s="16"/>
      <c r="G2" s="16"/>
      <c r="H2" s="12"/>
    </row>
    <row r="3" spans="1:10" ht="15" customHeight="1" x14ac:dyDescent="0.3">
      <c r="C3" s="12"/>
      <c r="D3" s="16"/>
      <c r="E3" s="16"/>
      <c r="F3" s="16"/>
      <c r="G3" s="16"/>
      <c r="H3" s="12"/>
    </row>
    <row r="4" spans="1:10" ht="19.5" x14ac:dyDescent="0.3">
      <c r="C4" s="12"/>
      <c r="D4" s="12" t="s">
        <v>11</v>
      </c>
      <c r="E4" s="12" t="s">
        <v>17</v>
      </c>
      <c r="F4" s="12" t="s">
        <v>18</v>
      </c>
      <c r="G4" s="12" t="s">
        <v>16</v>
      </c>
      <c r="H4" s="12"/>
    </row>
    <row r="5" spans="1:10" ht="19.5" x14ac:dyDescent="0.3">
      <c r="C5" s="12"/>
      <c r="D5" s="15" t="s">
        <v>22</v>
      </c>
      <c r="E5" s="13">
        <f>SUMIF(Table3[[#All],[Item]],Table36[[#This Row],[Item]],Table3[[#All],[Qty]])</f>
        <v>30</v>
      </c>
      <c r="F5" s="13">
        <f>SUMIF(Table35[[#All],[Item]],Table36[[#This Row],[Item]],Table35[[#All],[Qty]])</f>
        <v>10</v>
      </c>
      <c r="G5" s="13">
        <f>Table36[[#This Row],[P. Qty]]-Table36[[#This Row],[S. Qty]]</f>
        <v>20</v>
      </c>
      <c r="H5" s="12"/>
      <c r="J5" t="s">
        <v>11</v>
      </c>
    </row>
    <row r="6" spans="1:10" ht="19.5" x14ac:dyDescent="0.3">
      <c r="C6" s="12"/>
      <c r="D6" s="15" t="s">
        <v>21</v>
      </c>
      <c r="E6" s="13">
        <f>SUMIF(Table3[[#All],[Item]],Table36[[#This Row],[Item]],Table3[[#All],[Qty]])</f>
        <v>30</v>
      </c>
      <c r="F6" s="13">
        <f>SUMIF(Table35[[#All],[Item]],Table36[[#This Row],[Item]],Table35[[#All],[Qty]])</f>
        <v>0</v>
      </c>
      <c r="G6" s="13">
        <f>Table36[[#This Row],[P. Qty]]-Table36[[#This Row],[S. Qty]]</f>
        <v>30</v>
      </c>
      <c r="H6" s="12"/>
      <c r="J6" t="str">
        <f>"&lt;&gt;"</f>
        <v>&lt;&gt;</v>
      </c>
    </row>
    <row r="7" spans="1:10" ht="19.5" x14ac:dyDescent="0.3">
      <c r="C7" s="12"/>
      <c r="D7" s="15" t="s">
        <v>19</v>
      </c>
      <c r="E7" s="13">
        <f>SUMIF(Table3[[#All],[Item]],Table36[[#This Row],[Item]],Table3[[#All],[Qty]])</f>
        <v>25</v>
      </c>
      <c r="F7" s="13">
        <f>SUMIF(Table35[[#All],[Item]],Table36[[#This Row],[Item]],Table35[[#All],[Qty]])</f>
        <v>5</v>
      </c>
      <c r="G7" s="13">
        <f>Table36[[#This Row],[P. Qty]]-Table36[[#This Row],[S. Qty]]</f>
        <v>20</v>
      </c>
      <c r="H7" s="12"/>
    </row>
    <row r="8" spans="1:10" ht="19.5" x14ac:dyDescent="0.3">
      <c r="C8" s="12"/>
      <c r="D8" s="15" t="s">
        <v>20</v>
      </c>
      <c r="E8" s="13">
        <f>SUMIF(Table3[[#All],[Item]],Table36[[#This Row],[Item]],Table3[[#All],[Qty]])</f>
        <v>10</v>
      </c>
      <c r="F8" s="13">
        <f>SUMIF(Table35[[#All],[Item]],Table36[[#This Row],[Item]],Table35[[#All],[Qty]])</f>
        <v>10</v>
      </c>
      <c r="G8" s="13">
        <f>Table36[[#This Row],[P. Qty]]-Table36[[#This Row],[S. Qty]]</f>
        <v>0</v>
      </c>
      <c r="H8" s="12"/>
    </row>
    <row r="9" spans="1:10" ht="19.5" x14ac:dyDescent="0.3">
      <c r="C9" s="12"/>
      <c r="D9" s="13"/>
      <c r="E9" s="13">
        <f>SUMIF(Table3[[#All],[Item]],Table36[[#This Row],[Item]],Table3[[#All],[Qty]])</f>
        <v>0</v>
      </c>
      <c r="F9" s="13">
        <f>SUMIF(Table35[[#All],[Item]],Table36[[#This Row],[Item]],Table35[[#All],[Qty]])</f>
        <v>0</v>
      </c>
      <c r="G9" s="13">
        <f>Table36[[#This Row],[P. Qty]]-Table36[[#This Row],[S. Qty]]</f>
        <v>0</v>
      </c>
      <c r="H9" s="12"/>
    </row>
    <row r="10" spans="1:10" ht="19.5" x14ac:dyDescent="0.3">
      <c r="A10" s="12"/>
      <c r="C10" s="12"/>
      <c r="D10" s="13"/>
      <c r="E10" s="13">
        <f>SUMIF(Table3[[#All],[Item]],Table36[[#This Row],[Item]],Table3[[#All],[Qty]])</f>
        <v>0</v>
      </c>
      <c r="F10" s="13">
        <f>SUMIF(Table35[[#All],[Item]],Table36[[#This Row],[Item]],Table35[[#All],[Qty]])</f>
        <v>0</v>
      </c>
      <c r="G10" s="13">
        <f>Table36[[#This Row],[P. Qty]]-Table36[[#This Row],[S. Qty]]</f>
        <v>0</v>
      </c>
      <c r="H10" s="12"/>
    </row>
    <row r="11" spans="1:10" ht="19.5" x14ac:dyDescent="0.3">
      <c r="C11" s="12"/>
      <c r="D11" s="13"/>
      <c r="E11" s="13">
        <f>SUMIF(Table3[[#All],[Item]],Table36[[#This Row],[Item]],Table3[[#All],[Qty]])</f>
        <v>0</v>
      </c>
      <c r="F11" s="13">
        <f>SUMIF(Table35[[#All],[Item]],Table36[[#This Row],[Item]],Table35[[#All],[Qty]])</f>
        <v>0</v>
      </c>
      <c r="G11" s="13">
        <f>Table36[[#This Row],[P. Qty]]-Table36[[#This Row],[S. Qty]]</f>
        <v>0</v>
      </c>
      <c r="H11" s="12"/>
    </row>
    <row r="12" spans="1:10" ht="19.5" x14ac:dyDescent="0.3">
      <c r="C12" s="12"/>
      <c r="D12" s="13"/>
      <c r="E12" s="13">
        <f>SUMIF(Table3[[#All],[Item]],Table36[[#This Row],[Item]],Table3[[#All],[Qty]])</f>
        <v>0</v>
      </c>
      <c r="F12" s="13">
        <f>SUMIF(Table35[[#All],[Item]],Table36[[#This Row],[Item]],Table35[[#All],[Qty]])</f>
        <v>0</v>
      </c>
      <c r="G12" s="13">
        <f>Table36[[#This Row],[P. Qty]]-Table36[[#This Row],[S. Qty]]</f>
        <v>0</v>
      </c>
      <c r="H12" s="12"/>
    </row>
    <row r="13" spans="1:10" ht="19.5" x14ac:dyDescent="0.3">
      <c r="C13" s="12"/>
      <c r="D13" s="13"/>
      <c r="E13" s="13">
        <f>SUMIF(Table3[[#All],[Item]],Table36[[#This Row],[Item]],Table3[[#All],[Qty]])</f>
        <v>0</v>
      </c>
      <c r="F13" s="13">
        <f>SUMIF(Table35[[#All],[Item]],Table36[[#This Row],[Item]],Table35[[#All],[Qty]])</f>
        <v>0</v>
      </c>
      <c r="G13" s="13">
        <f>Table36[[#This Row],[P. Qty]]-Table36[[#This Row],[S. Qty]]</f>
        <v>0</v>
      </c>
      <c r="H13" s="12"/>
    </row>
    <row r="14" spans="1:10" ht="19.5" x14ac:dyDescent="0.3">
      <c r="C14" s="12"/>
      <c r="D14" s="13"/>
      <c r="E14" s="13">
        <f>SUMIF(Table3[[#All],[Item]],Table36[[#This Row],[Item]],Table3[[#All],[Qty]])</f>
        <v>0</v>
      </c>
      <c r="F14" s="13">
        <f>SUMIF(Table35[[#All],[Item]],Table36[[#This Row],[Item]],Table35[[#All],[Qty]])</f>
        <v>0</v>
      </c>
      <c r="G14" s="13">
        <f>Table36[[#This Row],[P. Qty]]-Table36[[#This Row],[S. Qty]]</f>
        <v>0</v>
      </c>
      <c r="H14" s="12"/>
    </row>
    <row r="15" spans="1:10" ht="19.5" x14ac:dyDescent="0.3">
      <c r="C15" s="12"/>
      <c r="D15" s="13"/>
      <c r="E15" s="13">
        <f>SUMIF(Table3[[#All],[Item]],Table36[[#This Row],[Item]],Table3[[#All],[Qty]])</f>
        <v>0</v>
      </c>
      <c r="F15" s="13">
        <f>SUMIF(Table35[[#All],[Item]],Table36[[#This Row],[Item]],Table35[[#All],[Qty]])</f>
        <v>0</v>
      </c>
      <c r="G15" s="13">
        <f>Table36[[#This Row],[P. Qty]]-Table36[[#This Row],[S. Qty]]</f>
        <v>0</v>
      </c>
      <c r="H15" s="12"/>
    </row>
    <row r="16" spans="1:10" ht="19.5" x14ac:dyDescent="0.3">
      <c r="C16" s="12"/>
      <c r="D16" s="13"/>
      <c r="E16" s="13">
        <f>SUMIF(Table3[[#All],[Item]],Table36[[#This Row],[Item]],Table3[[#All],[Qty]])</f>
        <v>0</v>
      </c>
      <c r="F16" s="13">
        <f>SUMIF(Table35[[#All],[Item]],Table36[[#This Row],[Item]],Table35[[#All],[Qty]])</f>
        <v>0</v>
      </c>
      <c r="G16" s="13">
        <f>Table36[[#This Row],[P. Qty]]-Table36[[#This Row],[S. Qty]]</f>
        <v>0</v>
      </c>
      <c r="H16" s="12"/>
    </row>
    <row r="17" spans="3:8" ht="19.5" x14ac:dyDescent="0.3">
      <c r="C17" s="12"/>
      <c r="D17" s="13"/>
      <c r="E17" s="13">
        <f>SUMIF(Table3[[#All],[Item]],Table36[[#This Row],[Item]],Table3[[#All],[Qty]])</f>
        <v>0</v>
      </c>
      <c r="F17" s="13">
        <f>SUMIF(Table35[[#All],[Item]],Table36[[#This Row],[Item]],Table35[[#All],[Qty]])</f>
        <v>0</v>
      </c>
      <c r="G17" s="13">
        <f>Table36[[#This Row],[P. Qty]]-Table36[[#This Row],[S. Qty]]</f>
        <v>0</v>
      </c>
      <c r="H17" s="12"/>
    </row>
    <row r="18" spans="3:8" ht="19.5" x14ac:dyDescent="0.3">
      <c r="C18" s="12"/>
      <c r="D18" s="13"/>
      <c r="E18" s="13">
        <f>SUMIF(Table3[[#All],[Item]],Table36[[#This Row],[Item]],Table3[[#All],[Qty]])</f>
        <v>0</v>
      </c>
      <c r="F18" s="13">
        <f>SUMIF(Table35[[#All],[Item]],Table36[[#This Row],[Item]],Table35[[#All],[Qty]])</f>
        <v>0</v>
      </c>
      <c r="G18" s="13">
        <f>Table36[[#This Row],[P. Qty]]-Table36[[#This Row],[S. Qty]]</f>
        <v>0</v>
      </c>
      <c r="H18" s="12"/>
    </row>
    <row r="19" spans="3:8" ht="19.5" x14ac:dyDescent="0.3">
      <c r="C19" s="12"/>
      <c r="D19" s="12"/>
      <c r="E19" s="12"/>
      <c r="F19" s="12"/>
      <c r="G19" s="12"/>
      <c r="H19" s="12"/>
    </row>
  </sheetData>
  <mergeCells count="1">
    <mergeCell ref="D2:G3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Home</vt:lpstr>
      <vt:lpstr>Purchase</vt:lpstr>
      <vt:lpstr>Sale</vt:lpstr>
      <vt:lpstr>Stock</vt:lpstr>
      <vt:lpstr>Stock!Criteria</vt:lpstr>
      <vt:lpstr>Stock!Extract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2022-12-20T14:08:59Z</dcterms:created>
  <dcterms:modified xsi:type="dcterms:W3CDTF">2022-12-22T07:37:36Z</dcterms:modified>
</cp:coreProperties>
</file>