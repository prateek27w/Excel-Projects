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esktop\Excel Projects\"/>
    </mc:Choice>
  </mc:AlternateContent>
  <xr:revisionPtr revIDLastSave="0" documentId="13_ncr:1_{3A80C5B3-1EAE-4D96-BBA9-1938E08A32FD}" xr6:coauthVersionLast="47" xr6:coauthVersionMax="47" xr10:uidLastSave="{00000000-0000-0000-0000-000000000000}"/>
  <bookViews>
    <workbookView xWindow="-120" yWindow="-120" windowWidth="20730" windowHeight="11160" xr2:uid="{D4BB3C91-1E84-413A-9BFC-6A5454AA2919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5" i="1" l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14" i="1"/>
  <c r="E14" i="1"/>
  <c r="F14" i="1" s="1"/>
  <c r="F28" i="1" l="1"/>
  <c r="F30" i="1" l="1"/>
  <c r="F29" i="1"/>
  <c r="F31" i="1" s="1"/>
</calcChain>
</file>

<file path=xl/sharedStrings.xml><?xml version="1.0" encoding="utf-8"?>
<sst xmlns="http://schemas.openxmlformats.org/spreadsheetml/2006/main" count="38" uniqueCount="36">
  <si>
    <t>S. No</t>
  </si>
  <si>
    <t>Quantity</t>
  </si>
  <si>
    <t>Amount</t>
  </si>
  <si>
    <t>Verma Medical Stores</t>
  </si>
  <si>
    <t>Rate</t>
  </si>
  <si>
    <t>NH-7 Nehru Ward Bargawan, Opp. SBI Evening Branch</t>
  </si>
  <si>
    <t>INVOICE</t>
  </si>
  <si>
    <t xml:space="preserve">  Katni, MP 483501</t>
  </si>
  <si>
    <t>Bill No :</t>
  </si>
  <si>
    <t>Name :</t>
  </si>
  <si>
    <t>Contact :</t>
  </si>
  <si>
    <t>Addess :</t>
  </si>
  <si>
    <t>Product</t>
  </si>
  <si>
    <t>Product Name</t>
  </si>
  <si>
    <t>Date :</t>
  </si>
  <si>
    <t>Total Amount</t>
  </si>
  <si>
    <t>Grand Total</t>
  </si>
  <si>
    <t>Cetragen</t>
  </si>
  <si>
    <t>Vicks Tab</t>
  </si>
  <si>
    <t>Crocin Adv.</t>
  </si>
  <si>
    <t>ACLOC 150mg</t>
  </si>
  <si>
    <t>ACLOC 300mg</t>
  </si>
  <si>
    <t>Pantop D</t>
  </si>
  <si>
    <t>Pantop DSR</t>
  </si>
  <si>
    <t>Gelusil</t>
  </si>
  <si>
    <t>Digene</t>
  </si>
  <si>
    <t>Nise</t>
  </si>
  <si>
    <t>Nimsulide</t>
  </si>
  <si>
    <t>Azithromysin</t>
  </si>
  <si>
    <t>Soframycin Tube</t>
  </si>
  <si>
    <t>Skinlite Cream</t>
  </si>
  <si>
    <t>Disprin</t>
  </si>
  <si>
    <t>Meftal Spas</t>
  </si>
  <si>
    <t>Batch No.</t>
  </si>
  <si>
    <t>CGST :</t>
  </si>
  <si>
    <t>SGST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</si>
</sst>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3" fillId="4" borderId="0" xfId="0" applyFont="1" applyFill="1"/>
    <xf numFmtId="0" fontId="2" fillId="4" borderId="0" xfId="0" applyFont="1" applyFill="1"/>
    <xf numFmtId="0" fontId="2" fillId="0" borderId="0" xfId="0" applyFont="1"/>
    <xf numFmtId="0" fontId="3" fillId="0" borderId="0" xfId="0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0" xfId="0" applyFont="1" applyBorder="1"/>
    <xf numFmtId="0" fontId="2" fillId="0" borderId="7" xfId="0" applyFont="1" applyBorder="1"/>
    <xf numFmtId="0" fontId="2" fillId="0" borderId="2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4" fillId="2" borderId="12" xfId="0" applyFont="1" applyFill="1" applyBorder="1" applyAlignment="1">
      <alignment horizontal="center" vertical="top"/>
    </xf>
    <xf numFmtId="0" fontId="4" fillId="2" borderId="13" xfId="0" applyFont="1" applyFill="1" applyBorder="1" applyAlignment="1">
      <alignment horizontal="center" vertical="top"/>
    </xf>
    <xf numFmtId="0" fontId="4" fillId="2" borderId="14" xfId="0" applyFont="1" applyFill="1" applyBorder="1" applyAlignment="1">
      <alignment horizontal="center" vertical="top"/>
    </xf>
    <xf numFmtId="0" fontId="5" fillId="2" borderId="5" xfId="0" applyFont="1" applyFill="1" applyBorder="1" applyAlignment="1">
      <alignment horizontal="center" vertical="top"/>
    </xf>
    <xf numFmtId="0" fontId="5" fillId="2" borderId="0" xfId="0" applyFont="1" applyFill="1" applyBorder="1" applyAlignment="1">
      <alignment horizontal="center" vertical="top"/>
    </xf>
    <xf numFmtId="0" fontId="5" fillId="2" borderId="6" xfId="0" applyFont="1" applyFill="1" applyBorder="1" applyAlignment="1">
      <alignment horizontal="center" vertical="top"/>
    </xf>
    <xf numFmtId="0" fontId="1" fillId="2" borderId="5" xfId="0" applyFont="1" applyFill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3" fillId="0" borderId="1" xfId="0" applyFont="1" applyBorder="1"/>
    <xf numFmtId="0" fontId="3" fillId="4" borderId="1" xfId="0" applyFont="1" applyFill="1" applyBorder="1"/>
    <xf numFmtId="0" fontId="3" fillId="4" borderId="12" xfId="0" applyFont="1" applyFill="1" applyBorder="1"/>
    <xf numFmtId="0" fontId="3" fillId="4" borderId="14" xfId="0" applyFont="1" applyFill="1" applyBorder="1"/>
    <xf numFmtId="0" fontId="3" fillId="0" borderId="12" xfId="0" applyFont="1" applyBorder="1"/>
    <xf numFmtId="0" fontId="3" fillId="0" borderId="14" xfId="0" applyFont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8" xfId="0" applyFont="1" applyBorder="1"/>
    <xf numFmtId="0" fontId="3" fillId="0" borderId="11" xfId="0" applyFont="1" applyBorder="1"/>
    <xf numFmtId="14" fontId="3" fillId="4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156883</xdr:colOff>
      <xdr:row>1</xdr:row>
      <xdr:rowOff>201705</xdr:rowOff>
    </xdr:from>
    <xdr:to>
      <xdr:col>9</xdr:col>
      <xdr:colOff>257736</xdr:colOff>
      <xdr:row>3</xdr:row>
      <xdr:rowOff>268940</xdr:rowOff>
    </xdr:to>
    <xdr:sp macro="[0]!ref_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72FC8DE-378E-9305-49DB-B3168318548D}"/>
            </a:ext>
          </a:extLst>
        </xdr:cNvPr>
        <xdr:cNvSpPr/>
      </xdr:nvSpPr>
      <xdr:spPr>
        <a:xfrm>
          <a:off x="5827059" y="605117"/>
          <a:ext cx="1916206" cy="470647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REFRESH INVIOCE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24571-F282-4A3F-826A-44C72B7829E5}">
  <dimension ref="A1:F100"/>
  <sheetViews>
    <sheetView tabSelected="1" zoomScale="85" zoomScaleNormal="85" workbookViewId="0">
      <selection activeCell="K12" sqref="K12"/>
    </sheetView>
  </sheetViews>
  <sheetFormatPr defaultRowHeight="15" x14ac:dyDescent="0.25"/>
  <cols>
    <col min="1" max="1" width="11.28515625" bestFit="1" customWidth="1"/>
    <col min="2" max="2" width="27.42578125" customWidth="1"/>
    <col min="3" max="3" width="14.28515625" bestFit="1" customWidth="1"/>
    <col min="4" max="4" width="11.42578125" customWidth="1"/>
    <col min="5" max="5" width="7.5703125" customWidth="1"/>
    <col min="6" max="6" width="13.140625" customWidth="1"/>
    <col min="8" max="8" width="9.140625" customWidth="1"/>
  </cols>
  <sheetData>
    <row r="1" spans="1:6" ht="31.5" x14ac:dyDescent="0.25">
      <c r="A1" s="15" t="s">
        <v>3</v>
      </c>
      <c r="B1" s="16"/>
      <c r="C1" s="16"/>
      <c r="D1" s="16"/>
      <c r="E1" s="16"/>
      <c r="F1" s="17"/>
    </row>
    <row r="2" spans="1:6" ht="15.75" x14ac:dyDescent="0.25">
      <c r="A2" s="18" t="s">
        <v>5</v>
      </c>
      <c r="B2" s="19"/>
      <c r="C2" s="19"/>
      <c r="D2" s="19"/>
      <c r="E2" s="19"/>
      <c r="F2" s="20"/>
    </row>
    <row r="3" spans="1:6" ht="15.75" x14ac:dyDescent="0.25">
      <c r="A3" s="21" t="s">
        <v>7</v>
      </c>
      <c r="B3" s="22"/>
      <c r="C3" s="22"/>
      <c r="D3" s="22"/>
      <c r="E3" s="22"/>
      <c r="F3" s="23"/>
    </row>
    <row r="4" spans="1:6" ht="21" x14ac:dyDescent="0.35">
      <c r="A4" s="24" t="s">
        <v>6</v>
      </c>
      <c r="B4" s="25"/>
      <c r="C4" s="25"/>
      <c r="D4" s="25"/>
      <c r="E4" s="25"/>
      <c r="F4" s="26"/>
    </row>
    <row r="6" spans="1:6" ht="18.75" x14ac:dyDescent="0.3">
      <c r="A6" s="2" t="s">
        <v>8</v>
      </c>
      <c r="B6" s="37"/>
      <c r="C6" s="3"/>
      <c r="D6" s="3"/>
      <c r="E6" s="2" t="s">
        <v>14</v>
      </c>
      <c r="F6" s="40"/>
    </row>
    <row r="7" spans="1:6" ht="18.75" x14ac:dyDescent="0.3">
      <c r="A7" s="4"/>
      <c r="B7" s="4"/>
      <c r="C7" s="4"/>
      <c r="D7" s="4"/>
      <c r="E7" s="4"/>
      <c r="F7" s="4"/>
    </row>
    <row r="8" spans="1:6" ht="18.75" x14ac:dyDescent="0.3">
      <c r="A8" s="5" t="s">
        <v>9</v>
      </c>
      <c r="B8" s="35"/>
      <c r="C8" s="4"/>
      <c r="D8" s="4"/>
      <c r="E8" s="4"/>
      <c r="F8" s="4"/>
    </row>
    <row r="9" spans="1:6" ht="18.75" x14ac:dyDescent="0.3">
      <c r="A9" s="5" t="s">
        <v>10</v>
      </c>
      <c r="B9" s="35"/>
      <c r="C9" s="4"/>
      <c r="D9" s="4"/>
      <c r="E9" s="4"/>
      <c r="F9" s="4"/>
    </row>
    <row r="10" spans="1:6" ht="18.75" x14ac:dyDescent="0.3">
      <c r="A10" s="5" t="s">
        <v>11</v>
      </c>
      <c r="B10" s="36"/>
      <c r="C10" s="36"/>
      <c r="D10" s="4"/>
      <c r="E10" s="4"/>
      <c r="F10" s="4"/>
    </row>
    <row r="11" spans="1:6" ht="18.75" x14ac:dyDescent="0.3">
      <c r="A11" s="4"/>
      <c r="B11" s="4"/>
      <c r="C11" s="4"/>
      <c r="D11" s="4"/>
      <c r="E11" s="4"/>
      <c r="F11" s="4"/>
    </row>
    <row r="12" spans="1:6" ht="18.75" x14ac:dyDescent="0.3">
      <c r="A12" s="4"/>
      <c r="B12" s="4"/>
      <c r="C12" s="4"/>
      <c r="D12" s="4"/>
      <c r="E12" s="4"/>
      <c r="F12" s="4"/>
    </row>
    <row r="13" spans="1:6" ht="18.75" customHeight="1" x14ac:dyDescent="0.3">
      <c r="A13" s="28" t="s">
        <v>0</v>
      </c>
      <c r="B13" s="28" t="s">
        <v>13</v>
      </c>
      <c r="C13" s="28" t="s">
        <v>33</v>
      </c>
      <c r="D13" s="28" t="s">
        <v>1</v>
      </c>
      <c r="E13" s="28" t="s">
        <v>4</v>
      </c>
      <c r="F13" s="28" t="s">
        <v>2</v>
      </c>
    </row>
    <row r="14" spans="1:6" ht="18.75" customHeight="1" x14ac:dyDescent="0.3">
      <c r="A14" s="12"/>
      <c r="B14" s="6"/>
      <c r="C14" s="12" t="str">
        <f>IFERROR(INDEX(Sheet2!$C$2:$C$17,MATCH(Sheet1!$B14,Sheet2!$A$2:$A$17,0)),"")</f>
        <v/>
      </c>
      <c r="D14" s="7"/>
      <c r="E14" s="6" t="str">
        <f>IFERROR(INDEX(Sheet2!$B$2:$B$17,MATCH(Sheet1!$B14,Sheet2!$A$2:$A$17,2)),"")</f>
        <v/>
      </c>
      <c r="F14" s="12" t="str">
        <f>IFERROR(D14*E14,"")</f>
        <v/>
      </c>
    </row>
    <row r="15" spans="1:6" ht="18.75" customHeight="1" x14ac:dyDescent="0.3">
      <c r="A15" s="13"/>
      <c r="B15" s="8"/>
      <c r="C15" s="13" t="str">
        <f>IFERROR(INDEX(Sheet2!$C$2:$C$17,MATCH(Sheet1!$B15,Sheet2!$A$2:$A$17,0)),"")</f>
        <v/>
      </c>
      <c r="D15" s="9"/>
      <c r="E15" s="8" t="str">
        <f>IFERROR(INDEX(Sheet2!$B$2:$B$17,MATCH(Sheet1!$B15,Sheet2!$A$2:$A$17,2)),"")</f>
        <v/>
      </c>
      <c r="F15" s="13" t="str">
        <f t="shared" ref="F15:F27" si="0">IFERROR(D15*E15,"")</f>
        <v/>
      </c>
    </row>
    <row r="16" spans="1:6" ht="18.75" customHeight="1" x14ac:dyDescent="0.3">
      <c r="A16" s="13"/>
      <c r="B16" s="8"/>
      <c r="C16" s="13" t="str">
        <f>IFERROR(INDEX(Sheet2!$C$2:$C$17,MATCH(Sheet1!$B16,Sheet2!$A$2:$A$17,0)),"")</f>
        <v/>
      </c>
      <c r="D16" s="9"/>
      <c r="E16" s="8" t="str">
        <f>IFERROR(INDEX(Sheet2!$B$2:$B$17,MATCH(Sheet1!$B16,Sheet2!$A$2:$A$17,2)),"")</f>
        <v/>
      </c>
      <c r="F16" s="13" t="str">
        <f t="shared" si="0"/>
        <v/>
      </c>
    </row>
    <row r="17" spans="1:6" ht="18.75" customHeight="1" x14ac:dyDescent="0.3">
      <c r="A17" s="13"/>
      <c r="B17" s="8"/>
      <c r="C17" s="13" t="str">
        <f>IFERROR(INDEX(Sheet2!$C$2:$C$17,MATCH(Sheet1!$B17,Sheet2!$A$2:$A$17,0)),"")</f>
        <v/>
      </c>
      <c r="D17" s="9"/>
      <c r="E17" s="8" t="str">
        <f>IFERROR(INDEX(Sheet2!$B$2:$B$17,MATCH(Sheet1!$B17,Sheet2!$A$2:$A$17,2)),"")</f>
        <v/>
      </c>
      <c r="F17" s="13" t="str">
        <f t="shared" si="0"/>
        <v/>
      </c>
    </row>
    <row r="18" spans="1:6" ht="18.75" customHeight="1" x14ac:dyDescent="0.3">
      <c r="A18" s="13"/>
      <c r="B18" s="8"/>
      <c r="C18" s="13" t="str">
        <f>IFERROR(INDEX(Sheet2!$C$2:$C$17,MATCH(Sheet1!$B18,Sheet2!$A$2:$A$17,0)),"")</f>
        <v/>
      </c>
      <c r="D18" s="9"/>
      <c r="E18" s="8" t="str">
        <f>IFERROR(INDEX(Sheet2!$B$2:$B$17,MATCH(Sheet1!$B18,Sheet2!$A$2:$A$17,2)),"")</f>
        <v/>
      </c>
      <c r="F18" s="13" t="str">
        <f t="shared" si="0"/>
        <v/>
      </c>
    </row>
    <row r="19" spans="1:6" ht="18.75" customHeight="1" x14ac:dyDescent="0.3">
      <c r="A19" s="13"/>
      <c r="B19" s="8"/>
      <c r="C19" s="13" t="str">
        <f>IFERROR(INDEX(Sheet2!$C$2:$C$17,MATCH(Sheet1!$B19,Sheet2!$A$2:$A$17,0)),"")</f>
        <v/>
      </c>
      <c r="D19" s="9"/>
      <c r="E19" s="8" t="str">
        <f>IFERROR(INDEX(Sheet2!$B$2:$B$17,MATCH(Sheet1!$B19,Sheet2!$A$2:$A$17,2)),"")</f>
        <v/>
      </c>
      <c r="F19" s="13" t="str">
        <f t="shared" si="0"/>
        <v/>
      </c>
    </row>
    <row r="20" spans="1:6" ht="18.75" customHeight="1" x14ac:dyDescent="0.3">
      <c r="A20" s="13"/>
      <c r="B20" s="8"/>
      <c r="C20" s="13" t="str">
        <f>IFERROR(INDEX(Sheet2!$C$2:$C$17,MATCH(Sheet1!$B20,Sheet2!$A$2:$A$17,0)),"")</f>
        <v/>
      </c>
      <c r="D20" s="9"/>
      <c r="E20" s="8" t="str">
        <f>IFERROR(INDEX(Sheet2!$B$2:$B$17,MATCH(Sheet1!$B20,Sheet2!$A$2:$A$17,2)),"")</f>
        <v/>
      </c>
      <c r="F20" s="13" t="str">
        <f t="shared" si="0"/>
        <v/>
      </c>
    </row>
    <row r="21" spans="1:6" ht="18.75" customHeight="1" x14ac:dyDescent="0.3">
      <c r="A21" s="13"/>
      <c r="B21" s="8"/>
      <c r="C21" s="13" t="str">
        <f>IFERROR(INDEX(Sheet2!$C$2:$C$17,MATCH(Sheet1!$B21,Sheet2!$A$2:$A$17,0)),"")</f>
        <v/>
      </c>
      <c r="D21" s="9"/>
      <c r="E21" s="8" t="str">
        <f>IFERROR(INDEX(Sheet2!$B$2:$B$17,MATCH(Sheet1!$B21,Sheet2!$A$2:$A$17,2)),"")</f>
        <v/>
      </c>
      <c r="F21" s="13" t="str">
        <f t="shared" si="0"/>
        <v/>
      </c>
    </row>
    <row r="22" spans="1:6" ht="18.75" customHeight="1" x14ac:dyDescent="0.3">
      <c r="A22" s="13"/>
      <c r="B22" s="8"/>
      <c r="C22" s="13" t="str">
        <f>IFERROR(INDEX(Sheet2!$C$2:$C$17,MATCH(Sheet1!$B22,Sheet2!$A$2:$A$17,0)),"")</f>
        <v/>
      </c>
      <c r="D22" s="9"/>
      <c r="E22" s="8" t="str">
        <f>IFERROR(INDEX(Sheet2!$B$2:$B$17,MATCH(Sheet1!$B22,Sheet2!$A$2:$A$17,2)),"")</f>
        <v/>
      </c>
      <c r="F22" s="13" t="str">
        <f t="shared" si="0"/>
        <v/>
      </c>
    </row>
    <row r="23" spans="1:6" ht="18.75" customHeight="1" x14ac:dyDescent="0.3">
      <c r="A23" s="13"/>
      <c r="B23" s="8"/>
      <c r="C23" s="13" t="str">
        <f>IFERROR(INDEX(Sheet2!$C$2:$C$17,MATCH(Sheet1!$B23,Sheet2!$A$2:$A$17,0)),"")</f>
        <v/>
      </c>
      <c r="D23" s="9"/>
      <c r="E23" s="8" t="str">
        <f>IFERROR(INDEX(Sheet2!$B$2:$B$17,MATCH(Sheet1!$B23,Sheet2!$A$2:$A$17,2)),"")</f>
        <v/>
      </c>
      <c r="F23" s="13" t="str">
        <f t="shared" si="0"/>
        <v/>
      </c>
    </row>
    <row r="24" spans="1:6" ht="18.75" customHeight="1" x14ac:dyDescent="0.3">
      <c r="A24" s="13"/>
      <c r="B24" s="8"/>
      <c r="C24" s="13" t="str">
        <f>IFERROR(INDEX(Sheet2!$C$2:$C$17,MATCH(Sheet1!$B24,Sheet2!$A$2:$A$17,0)),"")</f>
        <v/>
      </c>
      <c r="D24" s="9"/>
      <c r="E24" s="8" t="str">
        <f>IFERROR(INDEX(Sheet2!$B$2:$B$17,MATCH(Sheet1!$B24,Sheet2!$A$2:$A$17,2)),"")</f>
        <v/>
      </c>
      <c r="F24" s="13" t="str">
        <f t="shared" si="0"/>
        <v/>
      </c>
    </row>
    <row r="25" spans="1:6" ht="18.75" customHeight="1" x14ac:dyDescent="0.3">
      <c r="A25" s="13"/>
      <c r="B25" s="8"/>
      <c r="C25" s="13" t="str">
        <f>IFERROR(INDEX(Sheet2!$C$2:$C$17,MATCH(Sheet1!$B25,Sheet2!$A$2:$A$17,0)),"")</f>
        <v/>
      </c>
      <c r="D25" s="9"/>
      <c r="E25" s="8" t="str">
        <f>IFERROR(INDEX(Sheet2!$B$2:$B$17,MATCH(Sheet1!$B25,Sheet2!$A$2:$A$17,2)),"")</f>
        <v/>
      </c>
      <c r="F25" s="13" t="str">
        <f t="shared" si="0"/>
        <v/>
      </c>
    </row>
    <row r="26" spans="1:6" ht="18.75" customHeight="1" x14ac:dyDescent="0.3">
      <c r="A26" s="13"/>
      <c r="B26" s="8"/>
      <c r="C26" s="13" t="str">
        <f>IFERROR(INDEX(Sheet2!$C$2:$C$17,MATCH(Sheet1!$B26,Sheet2!$A$2:$A$17,0)),"")</f>
        <v/>
      </c>
      <c r="D26" s="9"/>
      <c r="E26" s="8" t="str">
        <f>IFERROR(INDEX(Sheet2!$B$2:$B$17,MATCH(Sheet1!$B26,Sheet2!$A$2:$A$17,2)),"")</f>
        <v/>
      </c>
      <c r="F26" s="13" t="str">
        <f t="shared" si="0"/>
        <v/>
      </c>
    </row>
    <row r="27" spans="1:6" ht="18.75" customHeight="1" x14ac:dyDescent="0.3">
      <c r="A27" s="14"/>
      <c r="B27" s="10"/>
      <c r="C27" s="14" t="str">
        <f>IFERROR(INDEX(Sheet2!$C$2:$C$17,MATCH(Sheet1!$B27,Sheet2!$A$2:$A$17,0)),"")</f>
        <v/>
      </c>
      <c r="D27" s="11"/>
      <c r="E27" s="10" t="str">
        <f>IFERROR(INDEX(Sheet2!$B$2:$B$17,MATCH(Sheet1!$B27,Sheet2!$A$2:$A$17,2)),"")</f>
        <v/>
      </c>
      <c r="F27" s="14" t="str">
        <f t="shared" si="0"/>
        <v/>
      </c>
    </row>
    <row r="28" spans="1:6" ht="18.75" customHeight="1" x14ac:dyDescent="0.3">
      <c r="A28" s="9"/>
      <c r="B28" s="9"/>
      <c r="C28" s="9"/>
      <c r="D28" s="33" t="s">
        <v>15</v>
      </c>
      <c r="E28" s="38"/>
      <c r="F28" s="39">
        <f>SUM(F14:F27)</f>
        <v>0</v>
      </c>
    </row>
    <row r="29" spans="1:6" ht="18.75" customHeight="1" x14ac:dyDescent="0.3">
      <c r="A29" s="9"/>
      <c r="B29" s="9"/>
      <c r="C29" s="9"/>
      <c r="D29" s="33" t="s">
        <v>34</v>
      </c>
      <c r="E29" s="34"/>
      <c r="F29" s="29">
        <f>F28*6%</f>
        <v>0</v>
      </c>
    </row>
    <row r="30" spans="1:6" ht="18.75" customHeight="1" x14ac:dyDescent="0.3">
      <c r="A30" s="9"/>
      <c r="B30" s="9"/>
      <c r="C30" s="9"/>
      <c r="D30" s="33" t="s">
        <v>35</v>
      </c>
      <c r="E30" s="34"/>
      <c r="F30" s="29">
        <f>F28*6%</f>
        <v>0</v>
      </c>
    </row>
    <row r="31" spans="1:6" ht="18.75" customHeight="1" x14ac:dyDescent="0.3">
      <c r="A31" s="9"/>
      <c r="B31" s="9"/>
      <c r="C31" s="9"/>
      <c r="D31" s="31" t="s">
        <v>16</v>
      </c>
      <c r="E31" s="32"/>
      <c r="F31" s="30">
        <f>F28+F29+F30</f>
        <v>0</v>
      </c>
    </row>
    <row r="32" spans="1:6" ht="18.75" x14ac:dyDescent="0.3">
      <c r="A32" s="9"/>
      <c r="B32" s="9"/>
      <c r="C32" s="9"/>
      <c r="D32" s="9"/>
      <c r="E32" s="9"/>
      <c r="F32" s="9"/>
    </row>
    <row r="33" spans="1:6" ht="18.75" x14ac:dyDescent="0.3">
      <c r="A33" s="9"/>
      <c r="B33" s="9"/>
      <c r="C33" s="9"/>
      <c r="D33" s="9"/>
      <c r="E33" s="9"/>
      <c r="F33" s="9"/>
    </row>
    <row r="34" spans="1:6" ht="18.75" x14ac:dyDescent="0.3">
      <c r="A34" s="9"/>
      <c r="B34" s="9"/>
      <c r="C34" s="9"/>
      <c r="D34" s="9"/>
      <c r="E34" s="9"/>
      <c r="F34" s="9"/>
    </row>
    <row r="35" spans="1:6" ht="18.75" x14ac:dyDescent="0.3">
      <c r="A35" s="9"/>
      <c r="B35" s="9"/>
      <c r="C35" s="9"/>
      <c r="D35" s="27"/>
      <c r="E35" s="27"/>
      <c r="F35" s="27"/>
    </row>
    <row r="36" spans="1:6" ht="18.75" x14ac:dyDescent="0.3">
      <c r="A36" s="9"/>
      <c r="B36" s="9"/>
      <c r="C36" s="9"/>
      <c r="D36" s="27"/>
      <c r="E36" s="27"/>
      <c r="F36" s="27"/>
    </row>
    <row r="37" spans="1:6" ht="18.75" x14ac:dyDescent="0.3">
      <c r="A37" s="9"/>
      <c r="B37" s="9"/>
      <c r="C37" s="9"/>
      <c r="D37" s="9"/>
      <c r="E37" s="9"/>
      <c r="F37" s="9"/>
    </row>
    <row r="38" spans="1:6" ht="18.75" x14ac:dyDescent="0.3">
      <c r="A38" s="4"/>
      <c r="B38" s="4"/>
      <c r="C38" s="4"/>
      <c r="D38" s="4"/>
      <c r="E38" s="4"/>
      <c r="F38" s="4"/>
    </row>
    <row r="39" spans="1:6" ht="18.75" x14ac:dyDescent="0.3">
      <c r="A39" s="4"/>
      <c r="B39" s="4"/>
      <c r="C39" s="4"/>
      <c r="D39" s="4"/>
      <c r="E39" s="4"/>
      <c r="F39" s="4"/>
    </row>
    <row r="40" spans="1:6" ht="18.75" x14ac:dyDescent="0.3">
      <c r="A40" s="4"/>
      <c r="B40" s="4"/>
      <c r="C40" s="4"/>
      <c r="D40" s="4"/>
      <c r="E40" s="4"/>
      <c r="F40" s="4"/>
    </row>
    <row r="41" spans="1:6" ht="18.75" x14ac:dyDescent="0.3">
      <c r="A41" s="4"/>
      <c r="B41" s="4"/>
      <c r="C41" s="4"/>
      <c r="D41" s="4"/>
      <c r="E41" s="4"/>
      <c r="F41" s="4"/>
    </row>
    <row r="42" spans="1:6" ht="18.75" x14ac:dyDescent="0.3">
      <c r="A42" s="4"/>
      <c r="B42" s="4"/>
      <c r="C42" s="4"/>
      <c r="D42" s="4"/>
      <c r="E42" s="4"/>
      <c r="F42" s="4"/>
    </row>
    <row r="43" spans="1:6" ht="18.75" x14ac:dyDescent="0.3">
      <c r="A43" s="4"/>
      <c r="B43" s="4"/>
      <c r="C43" s="4"/>
      <c r="D43" s="4"/>
      <c r="E43" s="4"/>
      <c r="F43" s="4"/>
    </row>
    <row r="44" spans="1:6" ht="18.75" x14ac:dyDescent="0.3">
      <c r="A44" s="4"/>
      <c r="B44" s="4"/>
      <c r="C44" s="4"/>
      <c r="D44" s="4"/>
      <c r="E44" s="4"/>
      <c r="F44" s="4"/>
    </row>
    <row r="45" spans="1:6" ht="18.75" x14ac:dyDescent="0.3">
      <c r="A45" s="4"/>
      <c r="B45" s="4"/>
      <c r="C45" s="4"/>
      <c r="D45" s="4"/>
      <c r="E45" s="4"/>
      <c r="F45" s="4"/>
    </row>
    <row r="46" spans="1:6" ht="18.75" x14ac:dyDescent="0.3">
      <c r="A46" s="4"/>
      <c r="B46" s="4"/>
      <c r="C46" s="4"/>
      <c r="D46" s="4"/>
      <c r="E46" s="4"/>
      <c r="F46" s="4"/>
    </row>
    <row r="47" spans="1:6" ht="18.75" x14ac:dyDescent="0.3">
      <c r="A47" s="4"/>
      <c r="B47" s="4"/>
      <c r="C47" s="4"/>
      <c r="D47" s="4"/>
      <c r="E47" s="4"/>
      <c r="F47" s="4"/>
    </row>
    <row r="48" spans="1:6" ht="18.75" x14ac:dyDescent="0.3">
      <c r="A48" s="4"/>
      <c r="B48" s="4"/>
      <c r="C48" s="4"/>
      <c r="D48" s="4"/>
      <c r="E48" s="4"/>
      <c r="F48" s="4"/>
    </row>
    <row r="49" spans="1:6" ht="18.75" x14ac:dyDescent="0.3">
      <c r="A49" s="4"/>
      <c r="B49" s="4"/>
      <c r="C49" s="4"/>
      <c r="D49" s="4"/>
      <c r="E49" s="4"/>
      <c r="F49" s="4"/>
    </row>
    <row r="50" spans="1:6" ht="18.75" x14ac:dyDescent="0.3">
      <c r="A50" s="4"/>
      <c r="B50" s="4"/>
      <c r="C50" s="4"/>
      <c r="D50" s="4"/>
      <c r="E50" s="4"/>
      <c r="F50" s="4"/>
    </row>
    <row r="51" spans="1:6" ht="18.75" x14ac:dyDescent="0.3">
      <c r="A51" s="4"/>
      <c r="B51" s="4"/>
      <c r="C51" s="4"/>
      <c r="D51" s="4"/>
      <c r="E51" s="4"/>
      <c r="F51" s="4"/>
    </row>
    <row r="52" spans="1:6" ht="18.75" x14ac:dyDescent="0.3">
      <c r="A52" s="4"/>
      <c r="B52" s="4"/>
      <c r="C52" s="4"/>
      <c r="D52" s="4"/>
      <c r="E52" s="4"/>
      <c r="F52" s="4"/>
    </row>
    <row r="53" spans="1:6" ht="18.75" x14ac:dyDescent="0.3">
      <c r="A53" s="4"/>
      <c r="B53" s="4"/>
      <c r="C53" s="4"/>
      <c r="D53" s="4"/>
      <c r="E53" s="4"/>
      <c r="F53" s="4"/>
    </row>
    <row r="54" spans="1:6" ht="18.75" x14ac:dyDescent="0.3">
      <c r="A54" s="4"/>
      <c r="B54" s="4"/>
      <c r="C54" s="4"/>
      <c r="D54" s="4"/>
      <c r="E54" s="4"/>
      <c r="F54" s="4"/>
    </row>
    <row r="55" spans="1:6" ht="18.75" x14ac:dyDescent="0.3">
      <c r="A55" s="4"/>
      <c r="B55" s="4"/>
      <c r="C55" s="4"/>
      <c r="D55" s="4"/>
      <c r="E55" s="4"/>
      <c r="F55" s="4"/>
    </row>
    <row r="56" spans="1:6" ht="18.75" x14ac:dyDescent="0.3">
      <c r="A56" s="4"/>
      <c r="B56" s="4"/>
      <c r="C56" s="4"/>
      <c r="D56" s="4"/>
      <c r="E56" s="4"/>
      <c r="F56" s="4"/>
    </row>
    <row r="57" spans="1:6" ht="18.75" x14ac:dyDescent="0.3">
      <c r="A57" s="4"/>
      <c r="B57" s="4"/>
      <c r="C57" s="4"/>
      <c r="D57" s="4"/>
      <c r="E57" s="4"/>
      <c r="F57" s="4"/>
    </row>
    <row r="58" spans="1:6" ht="18.75" x14ac:dyDescent="0.3">
      <c r="A58" s="4"/>
      <c r="B58" s="4"/>
      <c r="C58" s="4"/>
      <c r="D58" s="4"/>
      <c r="E58" s="4"/>
      <c r="F58" s="4"/>
    </row>
    <row r="59" spans="1:6" ht="18.75" x14ac:dyDescent="0.3">
      <c r="A59" s="4"/>
      <c r="B59" s="4"/>
      <c r="C59" s="4"/>
      <c r="D59" s="4"/>
      <c r="E59" s="4"/>
      <c r="F59" s="4"/>
    </row>
    <row r="60" spans="1:6" ht="18.75" x14ac:dyDescent="0.3">
      <c r="A60" s="4"/>
      <c r="B60" s="4"/>
      <c r="C60" s="4"/>
      <c r="D60" s="4"/>
      <c r="E60" s="4"/>
      <c r="F60" s="4"/>
    </row>
    <row r="61" spans="1:6" ht="18.75" x14ac:dyDescent="0.3">
      <c r="A61" s="4"/>
      <c r="B61" s="4"/>
      <c r="C61" s="4"/>
      <c r="D61" s="4"/>
      <c r="E61" s="4"/>
      <c r="F61" s="4"/>
    </row>
    <row r="62" spans="1:6" ht="18.75" x14ac:dyDescent="0.3">
      <c r="A62" s="4"/>
      <c r="B62" s="4"/>
      <c r="C62" s="4"/>
      <c r="D62" s="4"/>
      <c r="E62" s="4"/>
      <c r="F62" s="4"/>
    </row>
    <row r="63" spans="1:6" ht="18.75" x14ac:dyDescent="0.3">
      <c r="A63" s="4"/>
      <c r="B63" s="4"/>
      <c r="C63" s="4"/>
      <c r="D63" s="4"/>
      <c r="E63" s="4"/>
      <c r="F63" s="4"/>
    </row>
    <row r="64" spans="1:6" ht="18.75" x14ac:dyDescent="0.3">
      <c r="A64" s="4"/>
      <c r="B64" s="4"/>
      <c r="C64" s="4"/>
      <c r="D64" s="4"/>
      <c r="E64" s="4"/>
      <c r="F64" s="4"/>
    </row>
    <row r="65" spans="1:6" ht="18.75" x14ac:dyDescent="0.3">
      <c r="A65" s="4"/>
      <c r="B65" s="4"/>
      <c r="C65" s="4"/>
      <c r="D65" s="4"/>
      <c r="E65" s="4"/>
      <c r="F65" s="4"/>
    </row>
    <row r="66" spans="1:6" ht="18.75" x14ac:dyDescent="0.3">
      <c r="A66" s="4"/>
      <c r="B66" s="4"/>
      <c r="C66" s="4"/>
      <c r="D66" s="4"/>
      <c r="E66" s="4"/>
      <c r="F66" s="4"/>
    </row>
    <row r="67" spans="1:6" ht="18.75" x14ac:dyDescent="0.3">
      <c r="A67" s="4"/>
      <c r="B67" s="4"/>
      <c r="C67" s="4"/>
      <c r="D67" s="4"/>
      <c r="E67" s="4"/>
      <c r="F67" s="4"/>
    </row>
    <row r="68" spans="1:6" ht="18.75" x14ac:dyDescent="0.3">
      <c r="A68" s="4"/>
      <c r="B68" s="4"/>
      <c r="C68" s="4"/>
      <c r="D68" s="4"/>
      <c r="E68" s="4"/>
      <c r="F68" s="4"/>
    </row>
    <row r="69" spans="1:6" ht="18.75" x14ac:dyDescent="0.3">
      <c r="A69" s="4"/>
      <c r="B69" s="4"/>
      <c r="C69" s="4"/>
      <c r="D69" s="4"/>
      <c r="E69" s="4"/>
      <c r="F69" s="4"/>
    </row>
    <row r="70" spans="1:6" ht="18.75" x14ac:dyDescent="0.3">
      <c r="A70" s="4"/>
      <c r="B70" s="4"/>
      <c r="C70" s="4"/>
      <c r="D70" s="4"/>
      <c r="E70" s="4"/>
      <c r="F70" s="4"/>
    </row>
    <row r="71" spans="1:6" ht="18.75" x14ac:dyDescent="0.3">
      <c r="A71" s="4"/>
      <c r="B71" s="4"/>
      <c r="C71" s="4"/>
      <c r="D71" s="4"/>
      <c r="E71" s="4"/>
      <c r="F71" s="4"/>
    </row>
    <row r="72" spans="1:6" ht="18.75" x14ac:dyDescent="0.3">
      <c r="A72" s="4"/>
      <c r="B72" s="4"/>
      <c r="C72" s="4"/>
      <c r="D72" s="4"/>
      <c r="E72" s="4"/>
      <c r="F72" s="4"/>
    </row>
    <row r="73" spans="1:6" ht="18.75" x14ac:dyDescent="0.3">
      <c r="A73" s="4"/>
      <c r="B73" s="4"/>
      <c r="C73" s="4"/>
      <c r="D73" s="4"/>
      <c r="E73" s="4"/>
      <c r="F73" s="4"/>
    </row>
    <row r="74" spans="1:6" ht="18.75" x14ac:dyDescent="0.3">
      <c r="A74" s="4"/>
      <c r="B74" s="4"/>
      <c r="C74" s="4"/>
      <c r="D74" s="4"/>
      <c r="E74" s="4"/>
      <c r="F74" s="4"/>
    </row>
    <row r="75" spans="1:6" ht="18.75" x14ac:dyDescent="0.3">
      <c r="A75" s="4"/>
      <c r="B75" s="4"/>
      <c r="C75" s="4"/>
      <c r="D75" s="4"/>
      <c r="E75" s="4"/>
      <c r="F75" s="4"/>
    </row>
    <row r="76" spans="1:6" ht="18.75" x14ac:dyDescent="0.3">
      <c r="A76" s="4"/>
      <c r="B76" s="4"/>
      <c r="C76" s="4"/>
      <c r="D76" s="4"/>
      <c r="E76" s="4"/>
      <c r="F76" s="4"/>
    </row>
    <row r="77" spans="1:6" ht="18.75" x14ac:dyDescent="0.3">
      <c r="A77" s="4"/>
      <c r="B77" s="4"/>
      <c r="C77" s="4"/>
      <c r="D77" s="4"/>
      <c r="E77" s="4"/>
      <c r="F77" s="4"/>
    </row>
    <row r="78" spans="1:6" ht="18.75" x14ac:dyDescent="0.3">
      <c r="A78" s="4"/>
      <c r="B78" s="4"/>
      <c r="C78" s="4"/>
      <c r="D78" s="4"/>
      <c r="E78" s="4"/>
      <c r="F78" s="4"/>
    </row>
    <row r="79" spans="1:6" ht="18.75" x14ac:dyDescent="0.3">
      <c r="A79" s="4"/>
      <c r="B79" s="4"/>
      <c r="C79" s="4"/>
      <c r="D79" s="4"/>
      <c r="E79" s="4"/>
      <c r="F79" s="4"/>
    </row>
    <row r="80" spans="1:6" ht="18.75" x14ac:dyDescent="0.3">
      <c r="A80" s="4"/>
      <c r="B80" s="4"/>
      <c r="C80" s="4"/>
      <c r="D80" s="4"/>
      <c r="E80" s="4"/>
      <c r="F80" s="4"/>
    </row>
    <row r="81" spans="1:6" ht="18.75" x14ac:dyDescent="0.3">
      <c r="A81" s="4"/>
      <c r="B81" s="4"/>
      <c r="C81" s="4"/>
      <c r="D81" s="4"/>
      <c r="E81" s="4"/>
      <c r="F81" s="4"/>
    </row>
    <row r="82" spans="1:6" ht="18.75" x14ac:dyDescent="0.3">
      <c r="A82" s="4"/>
      <c r="B82" s="4"/>
      <c r="C82" s="4"/>
      <c r="D82" s="4"/>
      <c r="E82" s="4"/>
      <c r="F82" s="4"/>
    </row>
    <row r="83" spans="1:6" ht="18.75" x14ac:dyDescent="0.3">
      <c r="A83" s="4"/>
      <c r="B83" s="4"/>
      <c r="C83" s="4"/>
      <c r="D83" s="4"/>
      <c r="E83" s="4"/>
      <c r="F83" s="4"/>
    </row>
    <row r="84" spans="1:6" ht="18.75" x14ac:dyDescent="0.3">
      <c r="A84" s="4"/>
      <c r="B84" s="4"/>
      <c r="C84" s="4"/>
      <c r="D84" s="4"/>
      <c r="E84" s="4"/>
      <c r="F84" s="4"/>
    </row>
    <row r="85" spans="1:6" ht="18.75" x14ac:dyDescent="0.3">
      <c r="A85" s="4"/>
      <c r="B85" s="4"/>
      <c r="C85" s="4"/>
      <c r="D85" s="4"/>
      <c r="E85" s="4"/>
      <c r="F85" s="4"/>
    </row>
    <row r="86" spans="1:6" ht="18.75" x14ac:dyDescent="0.3">
      <c r="A86" s="4"/>
      <c r="B86" s="4"/>
      <c r="C86" s="4"/>
      <c r="D86" s="4"/>
      <c r="E86" s="4"/>
      <c r="F86" s="4"/>
    </row>
    <row r="87" spans="1:6" ht="18.75" x14ac:dyDescent="0.3">
      <c r="A87" s="4"/>
      <c r="B87" s="4"/>
      <c r="C87" s="4"/>
      <c r="D87" s="4"/>
      <c r="E87" s="4"/>
      <c r="F87" s="4"/>
    </row>
    <row r="88" spans="1:6" ht="18.75" x14ac:dyDescent="0.3">
      <c r="A88" s="4"/>
      <c r="B88" s="4"/>
      <c r="C88" s="4"/>
      <c r="D88" s="4"/>
      <c r="E88" s="4"/>
      <c r="F88" s="4"/>
    </row>
    <row r="89" spans="1:6" ht="18.75" x14ac:dyDescent="0.3">
      <c r="A89" s="4"/>
      <c r="B89" s="4"/>
      <c r="C89" s="4"/>
      <c r="D89" s="4"/>
      <c r="E89" s="4"/>
      <c r="F89" s="4"/>
    </row>
    <row r="90" spans="1:6" ht="18.75" x14ac:dyDescent="0.3">
      <c r="A90" s="4"/>
      <c r="B90" s="4"/>
      <c r="C90" s="4"/>
      <c r="D90" s="4"/>
      <c r="E90" s="4"/>
      <c r="F90" s="4"/>
    </row>
    <row r="91" spans="1:6" ht="18.75" x14ac:dyDescent="0.3">
      <c r="A91" s="4"/>
      <c r="B91" s="4"/>
      <c r="C91" s="4"/>
      <c r="D91" s="4"/>
      <c r="E91" s="4"/>
      <c r="F91" s="4"/>
    </row>
    <row r="92" spans="1:6" ht="18.75" x14ac:dyDescent="0.3">
      <c r="A92" s="4"/>
      <c r="B92" s="4"/>
      <c r="C92" s="4"/>
      <c r="D92" s="4"/>
      <c r="E92" s="4"/>
      <c r="F92" s="4"/>
    </row>
    <row r="93" spans="1:6" ht="18.75" x14ac:dyDescent="0.3">
      <c r="A93" s="4"/>
      <c r="B93" s="4"/>
      <c r="C93" s="4"/>
      <c r="D93" s="4"/>
      <c r="E93" s="4"/>
      <c r="F93" s="4"/>
    </row>
    <row r="94" spans="1:6" ht="18.75" x14ac:dyDescent="0.3">
      <c r="A94" s="4"/>
      <c r="B94" s="4"/>
      <c r="C94" s="4"/>
      <c r="D94" s="4"/>
      <c r="E94" s="4"/>
      <c r="F94" s="4"/>
    </row>
    <row r="95" spans="1:6" ht="18.75" x14ac:dyDescent="0.3">
      <c r="A95" s="4"/>
      <c r="B95" s="4"/>
      <c r="C95" s="4"/>
      <c r="D95" s="4"/>
      <c r="E95" s="4"/>
      <c r="F95" s="4"/>
    </row>
    <row r="96" spans="1:6" ht="18.75" x14ac:dyDescent="0.3">
      <c r="A96" s="4"/>
      <c r="B96" s="4"/>
      <c r="C96" s="4"/>
      <c r="D96" s="4"/>
      <c r="E96" s="4"/>
      <c r="F96" s="4"/>
    </row>
    <row r="97" spans="1:6" ht="18.75" x14ac:dyDescent="0.3">
      <c r="A97" s="4"/>
      <c r="B97" s="4"/>
      <c r="C97" s="4"/>
      <c r="D97" s="4"/>
      <c r="E97" s="4"/>
      <c r="F97" s="4"/>
    </row>
    <row r="98" spans="1:6" ht="18.75" x14ac:dyDescent="0.3">
      <c r="A98" s="4"/>
      <c r="B98" s="4"/>
      <c r="C98" s="4"/>
      <c r="D98" s="4"/>
      <c r="E98" s="4"/>
      <c r="F98" s="4"/>
    </row>
    <row r="99" spans="1:6" ht="18.75" x14ac:dyDescent="0.3">
      <c r="A99" s="4"/>
      <c r="B99" s="4"/>
      <c r="C99" s="4"/>
      <c r="D99" s="4"/>
      <c r="E99" s="4"/>
      <c r="F99" s="4"/>
    </row>
    <row r="100" spans="1:6" ht="18.75" x14ac:dyDescent="0.3">
      <c r="A100" s="4"/>
      <c r="B100" s="4"/>
      <c r="C100" s="4"/>
      <c r="D100" s="4"/>
      <c r="E100" s="4"/>
      <c r="F100" s="4"/>
    </row>
  </sheetData>
  <mergeCells count="11">
    <mergeCell ref="D36:F36"/>
    <mergeCell ref="D35:F35"/>
    <mergeCell ref="B10:C10"/>
    <mergeCell ref="D28:E28"/>
    <mergeCell ref="D29:E29"/>
    <mergeCell ref="D30:E30"/>
    <mergeCell ref="D31:E31"/>
    <mergeCell ref="A1:F1"/>
    <mergeCell ref="A2:F2"/>
    <mergeCell ref="A3:F3"/>
    <mergeCell ref="A4:F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29FB1F-716A-4F2A-850F-EB6FDA4892E2}">
          <x14:formula1>
            <xm:f>Sheet2!$A$2:$A$70</xm:f>
          </x14:formula1>
          <xm:sqref>B14:B27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90FAC-1525-4805-B109-1A3DD92AD6C6}">
  <dimension ref="A1:C17"/>
  <sheetViews>
    <sheetView workbookViewId="0">
      <selection activeCell="C13" sqref="C13"/>
    </sheetView>
  </sheetViews>
  <sheetFormatPr defaultRowHeight="15" x14ac:dyDescent="0.25"/>
  <cols>
    <col min="1" max="1" width="15.85546875" bestFit="1" customWidth="1"/>
    <col min="3" max="3" width="12" bestFit="1" customWidth="1"/>
  </cols>
  <sheetData>
    <row r="1" spans="1:3" x14ac:dyDescent="0.25">
      <c r="A1" s="1" t="s">
        <v>12</v>
      </c>
      <c r="B1" t="s">
        <v>4</v>
      </c>
      <c r="C1" t="s">
        <v>33</v>
      </c>
    </row>
    <row r="2" spans="1:3" x14ac:dyDescent="0.25">
      <c r="A2" t="s">
        <v>17</v>
      </c>
      <c r="B2">
        <v>100</v>
      </c>
      <c r="C2">
        <v>564645556</v>
      </c>
    </row>
    <row r="3" spans="1:3" x14ac:dyDescent="0.25">
      <c r="A3" t="s">
        <v>18</v>
      </c>
      <c r="B3">
        <v>150</v>
      </c>
      <c r="C3">
        <v>456846545</v>
      </c>
    </row>
    <row r="4" spans="1:3" x14ac:dyDescent="0.25">
      <c r="A4" t="s">
        <v>19</v>
      </c>
      <c r="B4">
        <v>11</v>
      </c>
      <c r="C4">
        <v>654135465</v>
      </c>
    </row>
    <row r="5" spans="1:3" x14ac:dyDescent="0.25">
      <c r="A5" t="s">
        <v>20</v>
      </c>
      <c r="B5">
        <v>50</v>
      </c>
      <c r="C5">
        <v>684684554</v>
      </c>
    </row>
    <row r="6" spans="1:3" x14ac:dyDescent="0.25">
      <c r="A6" t="s">
        <v>21</v>
      </c>
      <c r="B6">
        <v>80</v>
      </c>
      <c r="C6">
        <v>265984895</v>
      </c>
    </row>
    <row r="7" spans="1:3" x14ac:dyDescent="0.25">
      <c r="A7" t="s">
        <v>22</v>
      </c>
      <c r="B7">
        <v>100</v>
      </c>
      <c r="C7">
        <v>545144454</v>
      </c>
    </row>
    <row r="8" spans="1:3" x14ac:dyDescent="0.25">
      <c r="A8" t="s">
        <v>23</v>
      </c>
      <c r="B8">
        <v>140</v>
      </c>
      <c r="C8">
        <v>548454545</v>
      </c>
    </row>
    <row r="9" spans="1:3" x14ac:dyDescent="0.25">
      <c r="A9" t="s">
        <v>24</v>
      </c>
      <c r="B9">
        <v>60</v>
      </c>
      <c r="C9">
        <v>587875458</v>
      </c>
    </row>
    <row r="10" spans="1:3" x14ac:dyDescent="0.25">
      <c r="A10" t="s">
        <v>25</v>
      </c>
      <c r="B10">
        <v>60</v>
      </c>
      <c r="C10">
        <v>878768457</v>
      </c>
    </row>
    <row r="11" spans="1:3" x14ac:dyDescent="0.25">
      <c r="A11" t="s">
        <v>26</v>
      </c>
      <c r="B11">
        <v>180</v>
      </c>
      <c r="C11">
        <v>867684354</v>
      </c>
    </row>
    <row r="12" spans="1:3" x14ac:dyDescent="0.25">
      <c r="A12" t="s">
        <v>27</v>
      </c>
      <c r="B12">
        <v>150</v>
      </c>
      <c r="C12">
        <v>867878787</v>
      </c>
    </row>
    <row r="13" spans="1:3" x14ac:dyDescent="0.25">
      <c r="A13" t="s">
        <v>28</v>
      </c>
      <c r="B13">
        <v>120</v>
      </c>
      <c r="C13">
        <v>578554376</v>
      </c>
    </row>
    <row r="14" spans="1:3" x14ac:dyDescent="0.25">
      <c r="A14" t="s">
        <v>29</v>
      </c>
      <c r="B14">
        <v>110</v>
      </c>
      <c r="C14">
        <v>845867684</v>
      </c>
    </row>
    <row r="15" spans="1:3" x14ac:dyDescent="0.25">
      <c r="A15" t="s">
        <v>30</v>
      </c>
      <c r="B15">
        <v>300</v>
      </c>
      <c r="C15">
        <v>874544545</v>
      </c>
    </row>
    <row r="16" spans="1:3" x14ac:dyDescent="0.25">
      <c r="A16" t="s">
        <v>31</v>
      </c>
      <c r="B16">
        <v>11</v>
      </c>
      <c r="C16">
        <v>848768685</v>
      </c>
    </row>
    <row r="17" spans="1:3" x14ac:dyDescent="0.25">
      <c r="A17" t="s">
        <v>32</v>
      </c>
      <c r="B17">
        <v>150</v>
      </c>
      <c r="C17">
        <v>386468478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2022-12-22T13:31:54Z</cp:lastPrinted>
  <dcterms:created xsi:type="dcterms:W3CDTF">2022-12-22T11:43:54Z</dcterms:created>
  <dcterms:modified xsi:type="dcterms:W3CDTF">2022-12-22T13:33:01Z</dcterms:modified>
</cp:coreProperties>
</file>